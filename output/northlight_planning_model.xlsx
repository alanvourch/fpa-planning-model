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Change log" sheetId="3" state="visible" r:id="rId3"/>
    <sheet name="Locations" sheetId="4" state="visible" r:id="rId4"/>
    <sheet name="Salary table" sheetId="5" state="visible" r:id="rId5"/>
    <sheet name="Hiring plans" sheetId="6" state="visible" r:id="rId6"/>
    <sheet name="Options" sheetId="7" state="visible" r:id="rId7"/>
    <sheet name="Option grid" sheetId="8" state="visible" r:id="rId8"/>
    <sheet name="Actuals" sheetId="9" state="visible" r:id="rId9"/>
    <sheet name="Budget FY2026" sheetId="10" state="visible" r:id="rId10"/>
    <sheet name="Bridge YTD" sheetId="11" state="visible" r:id="rId11"/>
    <sheet name="Plan base" sheetId="12" state="visible" r:id="rId12"/>
    <sheet name="Plan upside" sheetId="13" state="visible" r:id="rId13"/>
    <sheet name="Plan downside" sheetId="14" state="visible" r:id="rId14"/>
    <sheet name="Workforce" sheetId="15" state="visible" r:id="rId15"/>
    <sheet name="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"/>
    <numFmt numFmtId="165" formatCode="0.0%"/>
    <numFmt numFmtId="166" formatCode="#,##0.0"/>
    <numFmt numFmtId="167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FFF6DD"/>
      </patternFill>
    </fill>
    <fill>
      <patternFill patternType="solid">
        <fgColor rgb="00E8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164" fontId="0" fillId="2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2" borderId="0" pivotButton="0" quotePrefix="0" xfId="0"/>
    <xf numFmtId="166" fontId="0" fillId="3" borderId="0" pivotButton="0" quotePrefix="0" xfId="0"/>
    <xf numFmtId="165" fontId="0" fillId="2" borderId="0" pivotButton="0" quotePrefix="0" xfId="0"/>
    <xf numFmtId="167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Northlight Software: driver-based planning model</t>
        </is>
      </c>
    </row>
    <row r="2">
      <c r="A2" s="2" t="inlineStr">
        <is>
          <t>Assumption set v1.3. Generated by run_model.py; every number in this file comes from the model outputs.</t>
        </is>
      </c>
    </row>
    <row r="3">
      <c r="A3" t="inlineStr"/>
    </row>
    <row r="4">
      <c r="A4" s="3" t="inlineStr">
        <is>
          <t>How to read this workbook</t>
        </is>
      </c>
    </row>
    <row r="5">
      <c r="A5" t="inlineStr">
        <is>
          <t>1. Assumptions: every driver, its value in each scenario, and whether it is anchored on a published benchmark, derived from a published rate table, or a judgment call.</t>
        </is>
      </c>
    </row>
    <row r="6">
      <c r="A6" t="inlineStr">
        <is>
          <t>2. Change log: what changed since the FY2026 budget was locked (v1.0), when, by whom and why. Snapshot + log = current values.</t>
        </is>
      </c>
    </row>
    <row r="7">
      <c r="A7" t="inlineStr">
        <is>
          <t>3. Actuals P&amp;L and Budget FY2026: monthly detail. Yellow cells are values from the model; blue cells are Excel formulas you can click into.</t>
        </is>
      </c>
    </row>
    <row r="8">
      <c r="A8" t="inlineStr">
        <is>
          <t>4. Bridge YTD: January to August 2026 actual versus budget, by driver component. Impact is the effect on EBITDA, favorable positive. The components sum to the EBITDA variance.</t>
        </is>
      </c>
    </row>
    <row r="9">
      <c r="A9" t="inlineStr">
        <is>
          <t>5. The three scenario sheets hold the recommended option: P&amp;L, ARR roll-forward, cloud and cash, with subtotals and the cash roll-forward as formulas.</t>
        </is>
      </c>
    </row>
    <row r="10">
      <c r="A10" t="inlineStr">
        <is>
          <t>6. Workforce: FTE and people cost per month by function and location for the recommended option, base scenario.</t>
        </is>
      </c>
    </row>
    <row r="11">
      <c r="A11" t="inlineStr">
        <is>
          <t>7. Checks: every formula subtotal recomputed against the model value. All differences must be zero.</t>
        </is>
      </c>
    </row>
    <row r="12">
      <c r="A12" t="inlineStr"/>
    </row>
    <row r="13">
      <c r="A13" s="3" t="inlineStr">
        <is>
          <t>Conventions</t>
        </is>
      </c>
    </row>
    <row r="14">
      <c r="A14" t="inlineStr">
        <is>
          <t>Revenue = closing ARR / 12. Net revenue retention is all-in (includes the January price increase). Cloud cost = min(units, commitment) x price x (1 - discount) + overage x price + fixed.</t>
        </is>
      </c>
    </row>
    <row r="15">
      <c r="A15" t="inlineStr">
        <is>
          <t>Cash = opening + EBITDA - capex - change in receivables + change in deferred revenue + financing. Runway = closing cash / trailing three-month average net burn.</t>
        </is>
      </c>
    </row>
    <row r="16">
      <c r="A16" t="inlineStr">
        <is>
          <t>No interest, income tax, depreciation or capitalized development. Plan headcount carries a vacancy allowance (expected leavers x backfill lag) as a negative fractional seat.</t>
        </is>
      </c>
    </row>
    <row r="17">
      <c r="A17" t="inlineStr"/>
    </row>
    <row r="18">
      <c r="A18" s="3" t="inlineStr">
        <is>
          <t>Recommended option: phased_commit (Phased plan; one-year cloud commitment). Basis: highest base-scenario ARR at the end of the horizon among options that satisfy both guardrails.</t>
        </is>
      </c>
    </row>
    <row r="19">
      <c r="A19" t="inlineStr">
        <is>
          <t>Guardrails: downside runway at least 18 months in every month; base gross margin at least 74% in every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90" customWidth="1" min="9" max="9"/>
  </cols>
  <sheetData>
    <row r="1">
      <c r="A1" s="2" t="inlineStr">
        <is>
          <t>One row per driver. source_type: benchmark = published survey figure (named), derived = computed from a published rate table, judgment = own call.</t>
        </is>
      </c>
    </row>
    <row r="3">
      <c r="A3" s="3" t="inlineStr">
        <is>
          <t>id</t>
        </is>
      </c>
      <c r="B3" s="3" t="inlineStr">
        <is>
          <t>category</t>
        </is>
      </c>
      <c r="C3" s="3" t="inlineStr">
        <is>
          <t>name</t>
        </is>
      </c>
      <c r="D3" s="3" t="inlineStr">
        <is>
          <t>unit</t>
        </is>
      </c>
      <c r="E3" s="3" t="inlineStr">
        <is>
          <t>base</t>
        </is>
      </c>
      <c r="F3" s="3" t="inlineStr">
        <is>
          <t>upside</t>
        </is>
      </c>
      <c r="G3" s="3" t="inlineStr">
        <is>
          <t>downside</t>
        </is>
      </c>
      <c r="H3" s="3" t="inlineStr">
        <is>
          <t>source_type</t>
        </is>
      </c>
      <c r="I3" s="3" t="inlineStr">
        <is>
          <t>source</t>
        </is>
      </c>
    </row>
    <row r="4">
      <c r="A4" t="inlineStr">
        <is>
          <t>logos_per_ramped_ae_month</t>
        </is>
      </c>
      <c r="B4" t="inlineStr">
        <is>
          <t>revenue</t>
        </is>
      </c>
      <c r="C4" t="inlineStr">
        <is>
          <t>New customers won per fully ramped account executive per month</t>
        </is>
      </c>
      <c r="D4" t="inlineStr">
        <is>
          <t>logos/AE/month</t>
        </is>
      </c>
      <c r="E4" t="n">
        <v>0.9</v>
      </c>
      <c r="F4" t="n">
        <v>1.1</v>
      </c>
      <c r="G4" t="n">
        <v>0.5</v>
      </c>
      <c r="H4" t="inlineStr">
        <is>
          <t>judgment</t>
        </is>
      </c>
      <c r="I4" t="inlineStr">
        <is>
          <t>Base set at the trailing 2026 actual (0.92). Downside is a 45% productivity shortfall (pipeline does not rebuild). No external source.</t>
        </is>
      </c>
    </row>
    <row r="5">
      <c r="A5" t="inlineStr">
        <is>
          <t>initial_acv_usd</t>
        </is>
      </c>
      <c r="B5" t="inlineStr">
        <is>
          <t>revenue</t>
        </is>
      </c>
      <c r="C5" t="inlineStr">
        <is>
          <t>Annual contract value of a new Platform customer</t>
        </is>
      </c>
      <c r="D5" t="inlineStr">
        <is>
          <t>USD/year</t>
        </is>
      </c>
      <c r="E5" t="n">
        <v>38000</v>
      </c>
      <c r="F5" t="n">
        <v>38000</v>
      </c>
      <c r="G5" t="n">
        <v>38000</v>
      </c>
      <c r="H5" t="inlineStr">
        <is>
          <t>judgment</t>
        </is>
      </c>
      <c r="I5" t="inlineStr">
        <is>
          <t>Chosen inside the USD 25k-50k ACV band so retention benchmarks for that band apply (SaaS Capital, Research Brief 32, 2025).</t>
        </is>
      </c>
    </row>
    <row r="6">
      <c r="A6" t="inlineStr">
        <is>
          <t>nrr_annual</t>
        </is>
      </c>
      <c r="B6" t="inlineStr">
        <is>
          <t>revenue</t>
        </is>
      </c>
      <c r="C6" t="inlineStr">
        <is>
          <t>Net revenue retention (annual all-in including the January price increase) on the Platform base</t>
        </is>
      </c>
      <c r="D6" t="inlineStr">
        <is>
          <t>ratio</t>
        </is>
      </c>
      <c r="E6" t="n">
        <v>1.05</v>
      </c>
      <c r="F6" t="n">
        <v>1.1</v>
      </c>
      <c r="G6" t="n">
        <v>0.96</v>
      </c>
      <c r="H6" t="inlineStr">
        <is>
          <t>benchmark</t>
        </is>
      </c>
      <c r="I6" t="inlineStr">
        <is>
          <t>SaaS Capital, 2025 B2B SaaS Retention Benchmarks (Research Brief 32, 1,000+ companies): median NRR 102% for USD 25k-50k ACV, 104% for USD 50k-100k, 101% overall. Base 105% sits at the top of that median range; downside 96% sits just below the 25th percentile for USD 25k-50k ACV (97%).</t>
        </is>
      </c>
    </row>
    <row r="7">
      <c r="A7" t="inlineStr">
        <is>
          <t>grr_annual</t>
        </is>
      </c>
      <c r="B7" t="inlineStr">
        <is>
          <t>revenue</t>
        </is>
      </c>
      <c r="C7" t="inlineStr">
        <is>
          <t>Gross revenue retention (annual)</t>
        </is>
      </c>
      <c r="D7" t="inlineStr">
        <is>
          <t>ratio</t>
        </is>
      </c>
      <c r="E7" t="n">
        <v>0.9</v>
      </c>
      <c r="F7" t="n">
        <v>0.92</v>
      </c>
      <c r="G7" t="n">
        <v>0.86</v>
      </c>
      <c r="H7" t="inlineStr">
        <is>
          <t>benchmark</t>
        </is>
      </c>
      <c r="I7" t="inlineStr">
        <is>
          <t>SaaS Capital, 2025 B2B SaaS Retention Benchmarks: median GRR 91% for USD 25k-50k ACV, 90% overall. Downside 86% is a judgment call below the median.</t>
        </is>
      </c>
    </row>
    <row r="8">
      <c r="A8" t="inlineStr">
        <is>
          <t>price_increase_pct_jan</t>
        </is>
      </c>
      <c r="B8" t="inlineStr">
        <is>
          <t>revenue</t>
        </is>
      </c>
      <c r="C8" t="inlineStr">
        <is>
          <t>Price increase applied to existing Platform ARR every January</t>
        </is>
      </c>
      <c r="D8" t="inlineStr">
        <is>
          <t>ratio</t>
        </is>
      </c>
      <c r="E8" t="n">
        <v>0.05</v>
      </c>
      <c r="F8" t="n">
        <v>0.07000000000000001</v>
      </c>
      <c r="G8" t="n">
        <v>0.03</v>
      </c>
      <c r="H8" t="inlineStr">
        <is>
          <t>judgment</t>
        </is>
      </c>
      <c r="I8" t="inlineStr">
        <is>
          <t>Company pricing policy assumption. No external source.</t>
        </is>
      </c>
    </row>
    <row r="9">
      <c r="A9" t="inlineStr">
        <is>
          <t>attach_gain_pts_month</t>
        </is>
      </c>
      <c r="B9" t="inlineStr">
        <is>
          <t>revenue</t>
        </is>
      </c>
      <c r="C9" t="inlineStr">
        <is>
          <t>Monthly gain in the Insights add-on attach rate</t>
        </is>
      </c>
      <c r="D9" t="inlineStr">
        <is>
          <t>percentage points/month</t>
        </is>
      </c>
      <c r="E9" t="n">
        <v>0.6</v>
      </c>
      <c r="F9" t="n">
        <v>0.9</v>
      </c>
      <c r="G9" t="n">
        <v>0.2</v>
      </c>
      <c r="H9" t="inlineStr">
        <is>
          <t>judgment</t>
        </is>
      </c>
      <c r="I9" t="inlineStr">
        <is>
          <t>Product roadmap assumption. No external source.</t>
        </is>
      </c>
    </row>
    <row r="10">
      <c r="A10" t="inlineStr">
        <is>
          <t>attach_rate_cap</t>
        </is>
      </c>
      <c r="B10" t="inlineStr">
        <is>
          <t>revenue</t>
        </is>
      </c>
      <c r="C10" t="inlineStr">
        <is>
          <t>Ceiling on the Insights attach rate</t>
        </is>
      </c>
      <c r="D10" t="inlineStr">
        <is>
          <t>ratio</t>
        </is>
      </c>
      <c r="E10" t="n">
        <v>0.45</v>
      </c>
      <c r="F10" t="n">
        <v>0.45</v>
      </c>
      <c r="G10" t="n">
        <v>0.45</v>
      </c>
      <c r="H10" t="inlineStr">
        <is>
          <t>judgment</t>
        </is>
      </c>
      <c r="I10" t="inlineStr">
        <is>
          <t>Product assumption. No external source.</t>
        </is>
      </c>
    </row>
    <row r="11">
      <c r="A11" t="inlineStr">
        <is>
          <t>insights_usage_growth_month</t>
        </is>
      </c>
      <c r="B11" t="inlineStr">
        <is>
          <t>revenue</t>
        </is>
      </c>
      <c r="C11" t="inlineStr">
        <is>
          <t>Monthly growth in Insights revenue per customer from usage</t>
        </is>
      </c>
      <c r="D11" t="inlineStr">
        <is>
          <t>ratio/month</t>
        </is>
      </c>
      <c r="E11" t="n">
        <v>0.01</v>
      </c>
      <c r="F11" t="n">
        <v>0.015</v>
      </c>
      <c r="G11" t="n">
        <v>0.005</v>
      </c>
      <c r="H11" t="inlineStr">
        <is>
          <t>judgment</t>
        </is>
      </c>
      <c r="I11" t="inlineStr">
        <is>
          <t>Usage-based pricing assumption. No external source.</t>
        </is>
      </c>
    </row>
    <row r="12">
      <c r="A12" t="inlineStr">
        <is>
          <t>ae_ramp_months</t>
        </is>
      </c>
      <c r="B12" t="inlineStr">
        <is>
          <t>revenue</t>
        </is>
      </c>
      <c r="C12" t="inlineStr">
        <is>
          <t>Months for a new account executive to reach full productivity</t>
        </is>
      </c>
      <c r="D12" t="inlineStr">
        <is>
          <t>months</t>
        </is>
      </c>
      <c r="E12" t="n">
        <v>4</v>
      </c>
      <c r="F12" t="n">
        <v>4</v>
      </c>
      <c r="G12" t="n">
        <v>4</v>
      </c>
      <c r="H12" t="inlineStr">
        <is>
          <t>judgment</t>
        </is>
      </c>
      <c r="I12" t="inlineStr">
        <is>
          <t>Common sales-planning convention. No external source.</t>
        </is>
      </c>
    </row>
    <row r="13">
      <c r="A13" t="inlineStr">
        <is>
          <t>csm_ramp_months</t>
        </is>
      </c>
      <c r="B13" t="inlineStr">
        <is>
          <t>cost_of_revenue</t>
        </is>
      </c>
      <c r="C13" t="inlineStr">
        <is>
          <t>Months for a new customer success manager to carry a full book</t>
        </is>
      </c>
      <c r="D13" t="inlineStr">
        <is>
          <t>months</t>
        </is>
      </c>
      <c r="E13" t="n">
        <v>2</v>
      </c>
      <c r="F13" t="n">
        <v>2</v>
      </c>
      <c r="G13" t="n">
        <v>2</v>
      </c>
      <c r="H13" t="inlineStr">
        <is>
          <t>judgment</t>
        </is>
      </c>
      <c r="I13" t="inlineStr">
        <is>
          <t>Planning convention. No external source.</t>
        </is>
      </c>
    </row>
    <row r="14">
      <c r="A14" t="inlineStr">
        <is>
          <t>customers_per_csm</t>
        </is>
      </c>
      <c r="B14" t="inlineStr">
        <is>
          <t>cost_of_revenue</t>
        </is>
      </c>
      <c r="C14" t="inlineStr">
        <is>
          <t>Customers carried per fully ramped customer success manager</t>
        </is>
      </c>
      <c r="D14" t="inlineStr">
        <is>
          <t>customers/CSM</t>
        </is>
      </c>
      <c r="E14" t="n">
        <v>45</v>
      </c>
      <c r="F14" t="n">
        <v>45</v>
      </c>
      <c r="G14" t="n">
        <v>45</v>
      </c>
      <c r="H14" t="inlineStr">
        <is>
          <t>judgment</t>
        </is>
      </c>
      <c r="I14" t="inlineStr">
        <is>
          <t>Coverage-ratio assumption for a mid-market book. No external source.</t>
        </is>
      </c>
    </row>
    <row r="15">
      <c r="A15" t="inlineStr">
        <is>
          <t>cloud_units_per_platform_customer</t>
        </is>
      </c>
      <c r="B15" t="inlineStr">
        <is>
          <t>cost_of_revenue</t>
        </is>
      </c>
      <c r="C15" t="inlineStr">
        <is>
          <t>Compute units consumed per Platform customer per month</t>
        </is>
      </c>
      <c r="D15" t="inlineStr">
        <is>
          <t>units/customer/month</t>
        </is>
      </c>
      <c r="E15" t="n">
        <v>200</v>
      </c>
      <c r="F15" t="n">
        <v>200</v>
      </c>
      <c r="G15" t="n">
        <v>200</v>
      </c>
      <c r="H15" t="inlineStr">
        <is>
          <t>judgment</t>
        </is>
      </c>
      <c r="I15" t="inlineStr">
        <is>
          <t>Internal usage metric. No external source.</t>
        </is>
      </c>
    </row>
    <row r="16">
      <c r="A16" t="inlineStr">
        <is>
          <t>cloud_units_per_insights_customer</t>
        </is>
      </c>
      <c r="B16" t="inlineStr">
        <is>
          <t>cost_of_revenue</t>
        </is>
      </c>
      <c r="C16" t="inlineStr">
        <is>
          <t>Compute units consumed per Insights customer per month</t>
        </is>
      </c>
      <c r="D16" t="inlineStr">
        <is>
          <t>units/customer/month</t>
        </is>
      </c>
      <c r="E16" t="n">
        <v>2000</v>
      </c>
      <c r="F16" t="n">
        <v>2000</v>
      </c>
      <c r="G16" t="n">
        <v>2000</v>
      </c>
      <c r="H16" t="inlineStr">
        <is>
          <t>judgment</t>
        </is>
      </c>
      <c r="I16" t="inlineStr">
        <is>
          <t>Internal usage metric. Raised from 1500 to 2000 in v1.2 after the March 2026 usage step-up observed in actuals.</t>
        </is>
      </c>
    </row>
    <row r="17">
      <c r="A17" t="inlineStr">
        <is>
          <t>cloud_unit_price_usd</t>
        </is>
      </c>
      <c r="B17" t="inlineStr">
        <is>
          <t>cost_of_revenue</t>
        </is>
      </c>
      <c r="C17" t="inlineStr">
        <is>
          <t>On-demand price per compute unit</t>
        </is>
      </c>
      <c r="D17" t="inlineStr">
        <is>
          <t>USD/unit</t>
        </is>
      </c>
      <c r="E17" t="n">
        <v>0.42</v>
      </c>
      <c r="F17" t="n">
        <v>0.4</v>
      </c>
      <c r="G17" t="n">
        <v>0.46</v>
      </c>
      <c r="H17" t="inlineStr">
        <is>
          <t>judgment</t>
        </is>
      </c>
      <c r="I17" t="inlineStr">
        <is>
          <t>Blended provider list price for the company's instance mix. No external source.</t>
        </is>
      </c>
    </row>
    <row r="18">
      <c r="A18" t="inlineStr">
        <is>
          <t>cloud_unit_price_drift_month</t>
        </is>
      </c>
      <c r="B18" t="inlineStr">
        <is>
          <t>cost_of_revenue</t>
        </is>
      </c>
      <c r="C18" t="inlineStr">
        <is>
          <t>Monthly drift in the on-demand unit price</t>
        </is>
      </c>
      <c r="D18" t="inlineStr">
        <is>
          <t>ratio/month</t>
        </is>
      </c>
      <c r="E18" t="n">
        <v>-0.002</v>
      </c>
      <c r="F18" t="n">
        <v>-0.003</v>
      </c>
      <c r="G18" t="n">
        <v>0</v>
      </c>
      <c r="H18" t="inlineStr">
        <is>
          <t>judgment</t>
        </is>
      </c>
      <c r="I18" t="inlineStr">
        <is>
          <t>Assumed slow price erosion. No external source.</t>
        </is>
      </c>
    </row>
    <row r="19">
      <c r="A19" t="inlineStr">
        <is>
          <t>cloud_fixed_month_usd</t>
        </is>
      </c>
      <c r="B19" t="inlineStr">
        <is>
          <t>cost_of_revenue</t>
        </is>
      </c>
      <c r="C19" t="inlineStr">
        <is>
          <t>Fixed monthly cloud costs (networking and observability)</t>
        </is>
      </c>
      <c r="D19" t="inlineStr">
        <is>
          <t>USD/month</t>
        </is>
      </c>
      <c r="E19" t="n">
        <v>28000</v>
      </c>
      <c r="F19" t="n">
        <v>28000</v>
      </c>
      <c r="G19" t="n">
        <v>28000</v>
      </c>
      <c r="H19" t="inlineStr">
        <is>
          <t>judgment</t>
        </is>
      </c>
      <c r="I19" t="inlineStr">
        <is>
          <t>Internal contract values. No external source.</t>
        </is>
      </c>
    </row>
    <row r="20">
      <c r="A20" t="inlineStr">
        <is>
          <t>cloud_commit_discount</t>
        </is>
      </c>
      <c r="B20" t="inlineStr">
        <is>
          <t>cost_of_revenue</t>
        </is>
      </c>
      <c r="C20" t="inlineStr">
        <is>
          <t>Discount on committed compute units under a one-year commitment</t>
        </is>
      </c>
      <c r="D20" t="inlineStr">
        <is>
          <t>ratio</t>
        </is>
      </c>
      <c r="E20" t="n">
        <v>0.25</v>
      </c>
      <c r="F20" t="n">
        <v>0.25</v>
      </c>
      <c r="G20" t="n">
        <v>0.25</v>
      </c>
      <c r="H20" t="inlineStr">
        <is>
          <t>judgment</t>
        </is>
      </c>
      <c r="I20" t="inlineStr">
        <is>
          <t>Judgment call inside the discount range commonly quoted for one-year public-cloud commitments. No external source read for this figure.</t>
        </is>
      </c>
    </row>
    <row r="21">
      <c r="A21" t="inlineStr">
        <is>
          <t>cloud_commit_coverage</t>
        </is>
      </c>
      <c r="B21" t="inlineStr">
        <is>
          <t>cost_of_revenue</t>
        </is>
      </c>
      <c r="C21" t="inlineStr">
        <is>
          <t>Share of expected base-scenario units covered by the commitment</t>
        </is>
      </c>
      <c r="D21" t="inlineStr">
        <is>
          <t>ratio</t>
        </is>
      </c>
      <c r="E21" t="n">
        <v>0.85</v>
      </c>
      <c r="F21" t="n">
        <v>0.85</v>
      </c>
      <c r="G21" t="n">
        <v>0.85</v>
      </c>
      <c r="H21" t="inlineStr">
        <is>
          <t>judgment</t>
        </is>
      </c>
      <c r="I21" t="inlineStr">
        <is>
          <t>Sizing rule chosen to limit stranded commitment in the downside. No external source.</t>
        </is>
      </c>
    </row>
    <row r="22">
      <c r="A22" t="inlineStr">
        <is>
          <t>third_party_cogs_pct_rev</t>
        </is>
      </c>
      <c r="B22" t="inlineStr">
        <is>
          <t>cost_of_revenue</t>
        </is>
      </c>
      <c r="C22" t="inlineStr">
        <is>
          <t>Third-party software and data fees as a share of revenue</t>
        </is>
      </c>
      <c r="D22" t="inlineStr">
        <is>
          <t>ratio</t>
        </is>
      </c>
      <c r="E22" t="n">
        <v>0.03</v>
      </c>
      <c r="F22" t="n">
        <v>0.03</v>
      </c>
      <c r="G22" t="n">
        <v>0.03</v>
      </c>
      <c r="H22" t="inlineStr">
        <is>
          <t>benchmark</t>
        </is>
      </c>
      <c r="I22" t="inlineStr">
        <is>
          <t>SaaS Capital, 2026 Spending Benchmarks for Private B2B SaaS Companies (survey of 1,000+ companies, March 2026): median 'Other CoGS' 3% of ARR.</t>
        </is>
      </c>
    </row>
    <row r="23">
      <c r="A23" t="inlineStr">
        <is>
          <t>payment_processing_pct_monthly_billed</t>
        </is>
      </c>
      <c r="B23" t="inlineStr">
        <is>
          <t>cost_of_revenue</t>
        </is>
      </c>
      <c r="C23" t="inlineStr">
        <is>
          <t>Payment processing fees on monthly-billed revenue</t>
        </is>
      </c>
      <c r="D23" t="inlineStr">
        <is>
          <t>ratio</t>
        </is>
      </c>
      <c r="E23" t="n">
        <v>0.025</v>
      </c>
      <c r="F23" t="n">
        <v>0.025</v>
      </c>
      <c r="G23" t="n">
        <v>0.025</v>
      </c>
      <c r="H23" t="inlineStr">
        <is>
          <t>judgment</t>
        </is>
      </c>
      <c r="I23" t="inlineStr">
        <is>
          <t>Card-processing rate assumption. No external source.</t>
        </is>
      </c>
    </row>
    <row r="24">
      <c r="A24" t="inlineStr">
        <is>
          <t>sales_commission_pct_new_arr</t>
        </is>
      </c>
      <c r="B24" t="inlineStr">
        <is>
          <t>opex</t>
        </is>
      </c>
      <c r="C24" t="inlineStr">
        <is>
          <t>Sales commission as a share of new and expansion ARR</t>
        </is>
      </c>
      <c r="D24" t="inlineStr">
        <is>
          <t>ratio</t>
        </is>
      </c>
      <c r="E24" t="n">
        <v>0.1</v>
      </c>
      <c r="F24" t="n">
        <v>0.1</v>
      </c>
      <c r="G24" t="n">
        <v>0.1</v>
      </c>
      <c r="H24" t="inlineStr">
        <is>
          <t>judgment</t>
        </is>
      </c>
      <c r="I24" t="inlineStr">
        <is>
          <t>Compensation plan assumption. No external source.</t>
        </is>
      </c>
    </row>
    <row r="25">
      <c r="A25" t="inlineStr">
        <is>
          <t>marketing_program_cost_per_new_logo</t>
        </is>
      </c>
      <c r="B25" t="inlineStr">
        <is>
          <t>opex</t>
        </is>
      </c>
      <c r="C25" t="inlineStr">
        <is>
          <t>Marketing programme spend per new customer target</t>
        </is>
      </c>
      <c r="D25" t="inlineStr">
        <is>
          <t>USD/logo</t>
        </is>
      </c>
      <c r="E25" t="n">
        <v>30000</v>
      </c>
      <c r="F25" t="n">
        <v>28000</v>
      </c>
      <c r="G25" t="n">
        <v>33000</v>
      </c>
      <c r="H25" t="inlineStr">
        <is>
          <t>judgment</t>
        </is>
      </c>
      <c r="I25" t="inlineStr">
        <is>
          <t>Calibrated so that S&amp;M lands near the equity-backed benchmark (SaaS Capital 2026: median sales 15% and marketing 8% of ARR, equity-backed companies spend materially more). Own judgment.</t>
        </is>
      </c>
    </row>
    <row r="26">
      <c r="A26" t="inlineStr">
        <is>
          <t>rd_tooling_per_head_month</t>
        </is>
      </c>
      <c r="B26" t="inlineStr">
        <is>
          <t>opex</t>
        </is>
      </c>
      <c r="C26" t="inlineStr">
        <is>
          <t>R&amp;D tooling and cloud development spend per R&amp;D head</t>
        </is>
      </c>
      <c r="D26" t="inlineStr">
        <is>
          <t>USD/head/month</t>
        </is>
      </c>
      <c r="E26" t="n">
        <v>450</v>
      </c>
      <c r="F26" t="n">
        <v>450</v>
      </c>
      <c r="G26" t="n">
        <v>450</v>
      </c>
      <c r="H26" t="inlineStr">
        <is>
          <t>judgment</t>
        </is>
      </c>
      <c r="I26" t="inlineStr">
        <is>
          <t>Internal vendor stack. No external source.</t>
        </is>
      </c>
    </row>
    <row r="27">
      <c r="A27" t="inlineStr">
        <is>
          <t>rd_contractors_month</t>
        </is>
      </c>
      <c r="B27" t="inlineStr">
        <is>
          <t>opex</t>
        </is>
      </c>
      <c r="C27" t="inlineStr">
        <is>
          <t>R&amp;D contractor spend per month (baseline)</t>
        </is>
      </c>
      <c r="D27" t="inlineStr">
        <is>
          <t>USD/month</t>
        </is>
      </c>
      <c r="E27" t="n">
        <v>60000</v>
      </c>
      <c r="F27" t="n">
        <v>60000</v>
      </c>
      <c r="G27" t="n">
        <v>60000</v>
      </c>
      <c r="H27" t="inlineStr">
        <is>
          <t>judgment</t>
        </is>
      </c>
      <c r="I27" t="inlineStr">
        <is>
          <t>Existing contractor agreements. No external source.</t>
        </is>
      </c>
    </row>
    <row r="28">
      <c r="A28" t="inlineStr">
        <is>
          <t>ga_software_per_employee_month</t>
        </is>
      </c>
      <c r="B28" t="inlineStr">
        <is>
          <t>opex</t>
        </is>
      </c>
      <c r="C28" t="inlineStr">
        <is>
          <t>Company-wide software seats per employee</t>
        </is>
      </c>
      <c r="D28" t="inlineStr">
        <is>
          <t>USD/employee/month</t>
        </is>
      </c>
      <c r="E28" t="n">
        <v>180</v>
      </c>
      <c r="F28" t="n">
        <v>180</v>
      </c>
      <c r="G28" t="n">
        <v>180</v>
      </c>
      <c r="H28" t="inlineStr">
        <is>
          <t>judgment</t>
        </is>
      </c>
      <c r="I28" t="inlineStr">
        <is>
          <t>Internal vendor stack. No external source.</t>
        </is>
      </c>
    </row>
    <row r="29">
      <c r="A29" t="inlineStr">
        <is>
          <t>ga_fixed_month_usd</t>
        </is>
      </c>
      <c r="B29" t="inlineStr">
        <is>
          <t>opex</t>
        </is>
      </c>
      <c r="C29" t="inlineStr">
        <is>
          <t>Fixed G&amp;A (audit legal insurance) per month</t>
        </is>
      </c>
      <c r="D29" t="inlineStr">
        <is>
          <t>USD/month</t>
        </is>
      </c>
      <c r="E29" t="n">
        <v>75000</v>
      </c>
      <c r="F29" t="n">
        <v>75000</v>
      </c>
      <c r="G29" t="n">
        <v>75000</v>
      </c>
      <c r="H29" t="inlineStr">
        <is>
          <t>judgment</t>
        </is>
      </c>
      <c r="I29" t="inlineStr">
        <is>
          <t>Internal contract values. No external source.</t>
        </is>
      </c>
    </row>
    <row r="30">
      <c r="A30" t="inlineStr">
        <is>
          <t>bonus_pct_non_sales</t>
        </is>
      </c>
      <c r="B30" t="inlineStr">
        <is>
          <t>opex</t>
        </is>
      </c>
      <c r="C30" t="inlineStr">
        <is>
          <t>Bonus accrual for non-sales staff as a share of salary</t>
        </is>
      </c>
      <c r="D30" t="inlineStr">
        <is>
          <t>ratio</t>
        </is>
      </c>
      <c r="E30" t="n">
        <v>0.08</v>
      </c>
      <c r="F30" t="n">
        <v>0.08</v>
      </c>
      <c r="G30" t="n">
        <v>0.08</v>
      </c>
      <c r="H30" t="inlineStr">
        <is>
          <t>judgment</t>
        </is>
      </c>
      <c r="I30" t="inlineStr">
        <is>
          <t>Compensation policy assumption. No external source.</t>
        </is>
      </c>
    </row>
    <row r="31">
      <c r="A31" t="inlineStr">
        <is>
          <t>merit_increase_pct_jan</t>
        </is>
      </c>
      <c r="B31" t="inlineStr">
        <is>
          <t>opex</t>
        </is>
      </c>
      <c r="C31" t="inlineStr">
        <is>
          <t>Annual merit increase applied every January</t>
        </is>
      </c>
      <c r="D31" t="inlineStr">
        <is>
          <t>ratio</t>
        </is>
      </c>
      <c r="E31" t="n">
        <v>0.035</v>
      </c>
      <c r="F31" t="n">
        <v>0.035</v>
      </c>
      <c r="G31" t="n">
        <v>0.035</v>
      </c>
      <c r="H31" t="inlineStr">
        <is>
          <t>judgment</t>
        </is>
      </c>
      <c r="I31" t="inlineStr">
        <is>
          <t>Compensation policy assumption. No external source.</t>
        </is>
      </c>
    </row>
    <row r="32">
      <c r="A32" t="inlineStr">
        <is>
          <t>attrition_annual</t>
        </is>
      </c>
      <c r="B32" t="inlineStr">
        <is>
          <t>opex</t>
        </is>
      </c>
      <c r="C32" t="inlineStr">
        <is>
          <t>Annual voluntary attrition applied as a vacancy allowance</t>
        </is>
      </c>
      <c r="D32" t="inlineStr">
        <is>
          <t>ratio</t>
        </is>
      </c>
      <c r="E32" t="n">
        <v>0.12</v>
      </c>
      <c r="F32" t="n">
        <v>0.12</v>
      </c>
      <c r="G32" t="n">
        <v>0.12</v>
      </c>
      <c r="H32" t="inlineStr">
        <is>
          <t>judgment</t>
        </is>
      </c>
      <c r="I32" t="inlineStr">
        <is>
          <t>Planning assumption for a scale-up technology workforce. No external source.</t>
        </is>
      </c>
    </row>
    <row r="33">
      <c r="A33" t="inlineStr">
        <is>
          <t>backfill_lag_months</t>
        </is>
      </c>
      <c r="B33" t="inlineStr">
        <is>
          <t>opex</t>
        </is>
      </c>
      <c r="C33" t="inlineStr">
        <is>
          <t>Months a vacated seat stays open before the backfill starts</t>
        </is>
      </c>
      <c r="D33" t="inlineStr">
        <is>
          <t>months</t>
        </is>
      </c>
      <c r="E33" t="n">
        <v>2</v>
      </c>
      <c r="F33" t="n">
        <v>2</v>
      </c>
      <c r="G33" t="n">
        <v>2</v>
      </c>
      <c r="H33" t="inlineStr">
        <is>
          <t>judgment</t>
        </is>
      </c>
      <c r="I33" t="inlineStr">
        <is>
          <t>Recruiting cycle assumption. No external source.</t>
        </is>
      </c>
    </row>
    <row r="34">
      <c r="A34" t="inlineStr">
        <is>
          <t>recruiting_cost_pct_salary</t>
        </is>
      </c>
      <c r="B34" t="inlineStr">
        <is>
          <t>opex</t>
        </is>
      </c>
      <c r="C34" t="inlineStr">
        <is>
          <t>One-time recruiting cost per hire as a share of salary</t>
        </is>
      </c>
      <c r="D34" t="inlineStr">
        <is>
          <t>ratio</t>
        </is>
      </c>
      <c r="E34" t="n">
        <v>0.15</v>
      </c>
      <c r="F34" t="n">
        <v>0.15</v>
      </c>
      <c r="G34" t="n">
        <v>0.15</v>
      </c>
      <c r="H34" t="inlineStr">
        <is>
          <t>judgment</t>
        </is>
      </c>
      <c r="I34" t="inlineStr">
        <is>
          <t>Agency and internal recruiting cost assumption. No external source.</t>
        </is>
      </c>
    </row>
    <row r="35">
      <c r="A35" t="inlineStr">
        <is>
          <t>capex_per_new_hire_usd</t>
        </is>
      </c>
      <c r="B35" t="inlineStr">
        <is>
          <t>cash</t>
        </is>
      </c>
      <c r="C35" t="inlineStr">
        <is>
          <t>Equipment purchased per new hire (cash not P&amp;L)</t>
        </is>
      </c>
      <c r="D35" t="inlineStr">
        <is>
          <t>USD/hire</t>
        </is>
      </c>
      <c r="E35" t="n">
        <v>3500</v>
      </c>
      <c r="F35" t="n">
        <v>3500</v>
      </c>
      <c r="G35" t="n">
        <v>3500</v>
      </c>
      <c r="H35" t="inlineStr">
        <is>
          <t>judgment</t>
        </is>
      </c>
      <c r="I35" t="inlineStr">
        <is>
          <t>Laptop and peripherals. No external source.</t>
        </is>
      </c>
    </row>
    <row r="36">
      <c r="A36" t="inlineStr">
        <is>
          <t>annual_upfront_billing_share</t>
        </is>
      </c>
      <c r="B36" t="inlineStr">
        <is>
          <t>cash</t>
        </is>
      </c>
      <c r="C36" t="inlineStr">
        <is>
          <t>Share of ARR billed annually in advance</t>
        </is>
      </c>
      <c r="D36" t="inlineStr">
        <is>
          <t>ratio</t>
        </is>
      </c>
      <c r="E36" t="n">
        <v>0.4</v>
      </c>
      <c r="F36" t="n">
        <v>0.4</v>
      </c>
      <c r="G36" t="n">
        <v>0.4</v>
      </c>
      <c r="H36" t="inlineStr">
        <is>
          <t>judgment</t>
        </is>
      </c>
      <c r="I36" t="inlineStr">
        <is>
          <t>Contract mix assumption. No external source.</t>
        </is>
      </c>
    </row>
    <row r="37">
      <c r="A37" t="inlineStr">
        <is>
          <t>dso_days</t>
        </is>
      </c>
      <c r="B37" t="inlineStr">
        <is>
          <t>cash</t>
        </is>
      </c>
      <c r="C37" t="inlineStr">
        <is>
          <t>Days sales outstanding on billed revenue</t>
        </is>
      </c>
      <c r="D37" t="inlineStr">
        <is>
          <t>days</t>
        </is>
      </c>
      <c r="E37" t="n">
        <v>45</v>
      </c>
      <c r="F37" t="n">
        <v>45</v>
      </c>
      <c r="G37" t="n">
        <v>45</v>
      </c>
      <c r="H37" t="inlineStr">
        <is>
          <t>judgment</t>
        </is>
      </c>
      <c r="I37" t="inlineStr">
        <is>
          <t>Collections assumption. No external source.</t>
        </is>
      </c>
    </row>
    <row r="38">
      <c r="A38" t="inlineStr">
        <is>
          <t>min_runway_months_downside</t>
        </is>
      </c>
      <c r="B38" t="inlineStr">
        <is>
          <t>guardrail</t>
        </is>
      </c>
      <c r="C38" t="inlineStr">
        <is>
          <t>Minimum cash runway at any month of the downside scenario</t>
        </is>
      </c>
      <c r="D38" t="inlineStr">
        <is>
          <t>months</t>
        </is>
      </c>
      <c r="E38" t="n">
        <v>18</v>
      </c>
      <c r="F38" t="n">
        <v>18</v>
      </c>
      <c r="G38" t="n">
        <v>18</v>
      </c>
      <c r="H38" t="inlineStr">
        <is>
          <t>judgment</t>
        </is>
      </c>
      <c r="I38" t="inlineStr">
        <is>
          <t>Board guardrail. No external source.</t>
        </is>
      </c>
    </row>
    <row r="39">
      <c r="A39" t="inlineStr">
        <is>
          <t>gross_margin_floor</t>
        </is>
      </c>
      <c r="B39" t="inlineStr">
        <is>
          <t>guardrail</t>
        </is>
      </c>
      <c r="C39" t="inlineStr">
        <is>
          <t>Minimum monthly blended gross margin in the base scenario</t>
        </is>
      </c>
      <c r="D39" t="inlineStr">
        <is>
          <t>ratio</t>
        </is>
      </c>
      <c r="E39" t="n">
        <v>0.74</v>
      </c>
      <c r="F39" t="n">
        <v>0.74</v>
      </c>
      <c r="G39" t="n">
        <v>0.74</v>
      </c>
      <c r="H39" t="inlineStr">
        <is>
          <t>benchmark</t>
        </is>
      </c>
      <c r="I39" t="inlineStr">
        <is>
          <t>Benchmarkit 2025 SaaS Performance Metrics: median total-revenue gross margin 77% and subscription gross margin 81% (2024 data). Floor set 3 points below the total-revenue median: own judgment.</t>
        </is>
      </c>
    </row>
    <row r="40">
      <c r="A40" t="inlineStr">
        <is>
          <t>materiality_abs_usd</t>
        </is>
      </c>
      <c r="B40" t="inlineStr">
        <is>
          <t>materiality</t>
        </is>
      </c>
      <c r="C40" t="inlineStr">
        <is>
          <t>Bridge component is material above this absolute EBITDA impact (with the percentage test)</t>
        </is>
      </c>
      <c r="D40" t="inlineStr">
        <is>
          <t>USD</t>
        </is>
      </c>
      <c r="E40" t="n">
        <v>25000</v>
      </c>
      <c r="F40" t="n">
        <v>25000</v>
      </c>
      <c r="G40" t="n">
        <v>25000</v>
      </c>
      <c r="H40" t="inlineStr">
        <is>
          <t>judgment</t>
        </is>
      </c>
      <c r="I40" t="inlineStr">
        <is>
          <t>Reporting policy. No external source.</t>
        </is>
      </c>
    </row>
    <row r="41">
      <c r="A41" t="inlineStr">
        <is>
          <t>materiality_pct</t>
        </is>
      </c>
      <c r="B41" t="inlineStr">
        <is>
          <t>materiality</t>
        </is>
      </c>
      <c r="C41" t="inlineStr">
        <is>
          <t>Bridge component is material above this share of the budget line (with the absolute test)</t>
        </is>
      </c>
      <c r="D41" t="inlineStr">
        <is>
          <t>ratio</t>
        </is>
      </c>
      <c r="E41" t="n">
        <v>0.03</v>
      </c>
      <c r="F41" t="n">
        <v>0.03</v>
      </c>
      <c r="G41" t="n">
        <v>0.03</v>
      </c>
      <c r="H41" t="inlineStr">
        <is>
          <t>judgment</t>
        </is>
      </c>
      <c r="I41" t="inlineStr">
        <is>
          <t>Reporting policy. No external source.</t>
        </is>
      </c>
    </row>
    <row r="42">
      <c r="A42" t="inlineStr">
        <is>
          <t>materiality_abs_override_usd</t>
        </is>
      </c>
      <c r="B42" t="inlineStr">
        <is>
          <t>materiality</t>
        </is>
      </c>
      <c r="C42" t="inlineStr">
        <is>
          <t>Bridge component is material above this absolute impact regardless of percentage</t>
        </is>
      </c>
      <c r="D42" t="inlineStr">
        <is>
          <t>USD</t>
        </is>
      </c>
      <c r="E42" t="n">
        <v>100000</v>
      </c>
      <c r="F42" t="n">
        <v>100000</v>
      </c>
      <c r="G42" t="n">
        <v>100000</v>
      </c>
      <c r="H42" t="inlineStr">
        <is>
          <t>judgment</t>
        </is>
      </c>
      <c r="I42" t="inlineStr">
        <is>
          <t>Reporting policy. No external source.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10" customWidth="1" min="8" max="8"/>
  </cols>
  <sheetData>
    <row r="1">
      <c r="A1" s="2" t="inlineStr">
        <is>
          <t>Every change to assumptions.csv since v1.0. Replaying this log onto the v1.0 snapshot reproduces the current file (tested).</t>
        </is>
      </c>
    </row>
    <row r="3">
      <c r="A3" s="3" t="inlineStr">
        <is>
          <t>version</t>
        </is>
      </c>
      <c r="B3" s="3" t="inlineStr">
        <is>
          <t>date</t>
        </is>
      </c>
      <c r="C3" s="3" t="inlineStr">
        <is>
          <t>assumption_id</t>
        </is>
      </c>
      <c r="D3" s="3" t="inlineStr">
        <is>
          <t>scenario</t>
        </is>
      </c>
      <c r="E3" s="3" t="inlineStr">
        <is>
          <t>old_value</t>
        </is>
      </c>
      <c r="F3" s="3" t="inlineStr">
        <is>
          <t>new_value</t>
        </is>
      </c>
      <c r="G3" s="3" t="inlineStr">
        <is>
          <t>changed_by</t>
        </is>
      </c>
      <c r="H3" s="3" t="inlineStr">
        <is>
          <t>reason</t>
        </is>
      </c>
    </row>
    <row r="4">
      <c r="A4" t="inlineStr">
        <is>
          <t>1.1</t>
        </is>
      </c>
      <c r="B4" t="inlineStr">
        <is>
          <t>2026-04-14</t>
        </is>
      </c>
      <c r="C4" t="inlineStr">
        <is>
          <t>nrr_annual</t>
        </is>
      </c>
      <c r="D4" t="inlineStr">
        <is>
          <t>base</t>
        </is>
      </c>
      <c r="E4" t="inlineStr">
        <is>
          <t>1.06</t>
        </is>
      </c>
      <c r="F4" t="inlineStr">
        <is>
          <t>1.05</t>
        </is>
      </c>
      <c r="G4" t="inlineStr">
        <is>
          <t>Alan Vourc'h (FP&amp;A)</t>
        </is>
      </c>
      <c r="H4" t="inlineStr">
        <is>
          <t>Q1 2026 churn review: SMB logo churn ran above budget for three consecutive months; net retention re-based to the trailing actual</t>
        </is>
      </c>
    </row>
    <row r="5">
      <c r="A5" t="inlineStr">
        <is>
          <t>1.1</t>
        </is>
      </c>
      <c r="B5" t="inlineStr">
        <is>
          <t>2026-04-14</t>
        </is>
      </c>
      <c r="C5" t="inlineStr">
        <is>
          <t>logos_per_ramped_ae_month</t>
        </is>
      </c>
      <c r="D5" t="inlineStr">
        <is>
          <t>base</t>
        </is>
      </c>
      <c r="E5" t="inlineStr">
        <is>
          <t>1.10</t>
        </is>
      </c>
      <c r="F5" t="inlineStr">
        <is>
          <t>0.90</t>
        </is>
      </c>
      <c r="G5" t="inlineStr">
        <is>
          <t>Alan Vourc'h (FP&amp;A)</t>
        </is>
      </c>
      <c r="H5" t="inlineStr">
        <is>
          <t>Q1 2026 new logos per ramped account executive ran at 0.92 against a budget of 1.10; base reset to the trailing actual (0.90)</t>
        </is>
      </c>
    </row>
    <row r="6">
      <c r="A6" t="inlineStr">
        <is>
          <t>1.2</t>
        </is>
      </c>
      <c r="B6" t="inlineStr">
        <is>
          <t>2026-07-08</t>
        </is>
      </c>
      <c r="C6" t="inlineStr">
        <is>
          <t>cloud_units_per_insights_customer</t>
        </is>
      </c>
      <c r="D6" t="inlineStr">
        <is>
          <t>all</t>
        </is>
      </c>
      <c r="E6" t="inlineStr">
        <is>
          <t>1500</t>
        </is>
      </c>
      <c r="F6" t="inlineStr">
        <is>
          <t>2000</t>
        </is>
      </c>
      <c r="G6" t="inlineStr">
        <is>
          <t>Alan Vourc'h (FP&amp;A)</t>
        </is>
      </c>
      <c r="H6" t="inlineStr">
        <is>
          <t>Insights customers' data volumes stepped up about 30% from March 2026; unit consumption re-based on April to June actuals</t>
        </is>
      </c>
    </row>
    <row r="7">
      <c r="A7" t="inlineStr">
        <is>
          <t>1.2</t>
        </is>
      </c>
      <c r="B7" t="inlineStr">
        <is>
          <t>2026-07-08</t>
        </is>
      </c>
      <c r="C7" t="inlineStr">
        <is>
          <t>marketing_program_cost_per_new_logo</t>
        </is>
      </c>
      <c r="D7" t="inlineStr">
        <is>
          <t>base</t>
        </is>
      </c>
      <c r="E7" t="inlineStr">
        <is>
          <t>28000</t>
        </is>
      </c>
      <c r="F7" t="inlineStr">
        <is>
          <t>30000</t>
        </is>
      </c>
      <c r="G7" t="inlineStr">
        <is>
          <t>Alan Vourc'h (FP&amp;A)</t>
        </is>
      </c>
      <c r="H7" t="inlineStr">
        <is>
          <t>H1 2026 programme spend per new logo ran at 30.7k including the May conference; base re-based</t>
        </is>
      </c>
    </row>
    <row r="8">
      <c r="A8" t="inlineStr">
        <is>
          <t>1.3</t>
        </is>
      </c>
      <c r="B8" t="inlineStr">
        <is>
          <t>2026-09-10</t>
        </is>
      </c>
      <c r="C8" t="inlineStr">
        <is>
          <t>min_runway_months_downside</t>
        </is>
      </c>
      <c r="D8" t="inlineStr">
        <is>
          <t>all</t>
        </is>
      </c>
      <c r="E8" t="inlineStr">
        <is>
          <t>12</t>
        </is>
      </c>
      <c r="F8" t="inlineStr">
        <is>
          <t>18</t>
        </is>
      </c>
      <c r="G8" t="inlineStr">
        <is>
          <t>Alan Vourc'h (FP&amp;A)</t>
        </is>
      </c>
      <c r="H8" t="inlineStr">
        <is>
          <t>Board asked for 18 months of downside runway after the March 2026 Series C extension (USD 25M)</t>
        </is>
      </c>
    </row>
    <row r="9">
      <c r="A9" t="inlineStr">
        <is>
          <t>1.3</t>
        </is>
      </c>
      <c r="B9" t="inlineStr">
        <is>
          <t>2026-09-10</t>
        </is>
      </c>
      <c r="C9" t="inlineStr">
        <is>
          <t>cloud_unit_price_usd</t>
        </is>
      </c>
      <c r="D9" t="inlineStr">
        <is>
          <t>downside</t>
        </is>
      </c>
      <c r="E9" t="inlineStr">
        <is>
          <t>0.44</t>
        </is>
      </c>
      <c r="F9" t="inlineStr">
        <is>
          <t>0.46</t>
        </is>
      </c>
      <c r="G9" t="inlineStr">
        <is>
          <t>Alan Vourc'h (FP&amp;A)</t>
        </is>
      </c>
      <c r="H9" t="inlineStr">
        <is>
          <t>Provider announced a list-price change on the instance family used for Insights workloads; the downside now carries 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0" customWidth="1" min="6" max="6"/>
  </cols>
  <sheetData>
    <row r="1">
      <c r="A1" s="3" t="inlineStr">
        <is>
          <t>location</t>
        </is>
      </c>
      <c r="B1" s="3" t="inlineStr">
        <is>
          <t>employer_tax_rate</t>
        </is>
      </c>
      <c r="C1" s="3" t="inlineStr">
        <is>
          <t>benefits_rate</t>
        </is>
      </c>
      <c r="D1" s="3" t="inlineStr">
        <is>
          <t>rent_per_head_month_usd</t>
        </is>
      </c>
      <c r="E1" s="3" t="inlineStr">
        <is>
          <t>source_type</t>
        </is>
      </c>
      <c r="F1" s="3" t="inlineStr">
        <is>
          <t>source</t>
        </is>
      </c>
    </row>
    <row r="2">
      <c r="A2" t="inlineStr">
        <is>
          <t>Montreal</t>
        </is>
      </c>
      <c r="B2" t="n">
        <v>0.11</v>
      </c>
      <c r="C2" t="n">
        <v>0.06</v>
      </c>
      <c r="D2" t="n">
        <v>450</v>
      </c>
      <c r="E2" t="inlineStr">
        <is>
          <t>derived</t>
        </is>
      </c>
      <c r="F2" t="inlineStr">
        <is>
          <t>Employer tax rate derived from Raymond Chabot Grant Thornton Tax News 930R4 (February 2026): QPP employer 6.30% on earnings from CAD 3,500 to 74,600 plus 4.00% on 74,600 to 85,000; QPIP employer 0.602% to CAD 103,000; EI employer (Quebec) 1.82% to CAD 68,900; Health Services Fund 4.26% for total payroll of CAD 7.8M or more. At a CAD 110k salary these total about 10.8%; CNESST (industry-rated) approximated at 0.4%. Benefits and rent are judgment calls.</t>
        </is>
      </c>
    </row>
    <row r="3">
      <c r="A3" t="inlineStr">
        <is>
          <t>Paris</t>
        </is>
      </c>
      <c r="B3" t="n">
        <v>0.42</v>
      </c>
      <c r="C3" t="n">
        <v>0.05</v>
      </c>
      <c r="D3" t="n">
        <v>600</v>
      </c>
      <c r="E3" t="inlineStr">
        <is>
          <t>derived</t>
        </is>
      </c>
      <c r="F3" t="inlineStr">
        <is>
          <t>PwC Worldwide Tax Summaries, France, Other taxes: employer share of social contributions is about 45% of gross salary on average, declining as salary rises above the ceilings. 42% used for cadre-level technology salaries: own judgment. Benefits (mutuelle, meal vouchers) and rent are judgment calls.</t>
        </is>
      </c>
    </row>
    <row r="4">
      <c r="A4" t="inlineStr">
        <is>
          <t>Austin</t>
        </is>
      </c>
      <c r="B4" t="n">
        <v>0.08500000000000001</v>
      </c>
      <c r="C4" t="n">
        <v>0.14</v>
      </c>
      <c r="D4" t="n">
        <v>500</v>
      </c>
      <c r="E4" t="inlineStr">
        <is>
          <t>derived</t>
        </is>
      </c>
      <c r="F4" t="inlineStr">
        <is>
          <t>IRS Tax Topic 751 (2026): employer Social Security 6.2% up to the USD 184,500 wage base and Medicare 1.45% uncapped. FUTA and Texas SUTA approximated at 0.85%: own judgment. Benefits rate (health insurance heavy) and rent are judgment calls.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Annual salary in USD by role and location; sales_role = commission plan, no bonus accrual.</t>
        </is>
      </c>
    </row>
    <row r="3">
      <c r="A3" s="3" t="inlineStr">
        <is>
          <t>role</t>
        </is>
      </c>
      <c r="B3" s="3" t="inlineStr">
        <is>
          <t>function</t>
        </is>
      </c>
      <c r="C3" s="3" t="inlineStr">
        <is>
          <t>cost_bucket</t>
        </is>
      </c>
      <c r="D3" s="3" t="inlineStr">
        <is>
          <t>sales_role</t>
        </is>
      </c>
      <c r="E3" s="3" t="inlineStr">
        <is>
          <t>Montreal</t>
        </is>
      </c>
      <c r="F3" s="3" t="inlineStr">
        <is>
          <t>Paris</t>
        </is>
      </c>
      <c r="G3" s="3" t="inlineStr">
        <is>
          <t>Austin</t>
        </is>
      </c>
    </row>
    <row r="4">
      <c r="A4" t="inlineStr">
        <is>
          <t>Software Engineer</t>
        </is>
      </c>
      <c r="B4" t="inlineStr">
        <is>
          <t>R&amp;D</t>
        </is>
      </c>
      <c r="C4" t="inlineStr">
        <is>
          <t>R&amp;D</t>
        </is>
      </c>
      <c r="D4" t="b">
        <v>0</v>
      </c>
      <c r="E4" t="n">
        <v>95000</v>
      </c>
      <c r="F4" t="n">
        <v>80000</v>
      </c>
      <c r="G4" t="n">
        <v>135000</v>
      </c>
    </row>
    <row r="5">
      <c r="A5" t="inlineStr">
        <is>
          <t>Senior Software Engineer</t>
        </is>
      </c>
      <c r="B5" t="inlineStr">
        <is>
          <t>R&amp;D</t>
        </is>
      </c>
      <c r="C5" t="inlineStr">
        <is>
          <t>R&amp;D</t>
        </is>
      </c>
      <c r="D5" t="b">
        <v>0</v>
      </c>
      <c r="E5" t="n">
        <v>125000</v>
      </c>
      <c r="F5" t="n">
        <v>105000</v>
      </c>
      <c r="G5" t="n">
        <v>175000</v>
      </c>
    </row>
    <row r="6">
      <c r="A6" t="inlineStr">
        <is>
          <t>Engineering Manager</t>
        </is>
      </c>
      <c r="B6" t="inlineStr">
        <is>
          <t>R&amp;D</t>
        </is>
      </c>
      <c r="C6" t="inlineStr">
        <is>
          <t>R&amp;D</t>
        </is>
      </c>
      <c r="D6" t="b">
        <v>0</v>
      </c>
      <c r="E6" t="n">
        <v>150000</v>
      </c>
      <c r="F6" t="n">
        <v>130000</v>
      </c>
      <c r="G6" t="n">
        <v>200000</v>
      </c>
    </row>
    <row r="7">
      <c r="A7" t="inlineStr">
        <is>
          <t>Product Manager</t>
        </is>
      </c>
      <c r="B7" t="inlineStr">
        <is>
          <t>R&amp;D</t>
        </is>
      </c>
      <c r="C7" t="inlineStr">
        <is>
          <t>R&amp;D</t>
        </is>
      </c>
      <c r="D7" t="b">
        <v>0</v>
      </c>
      <c r="E7" t="n">
        <v>120000</v>
      </c>
      <c r="F7" t="n">
        <v>100000</v>
      </c>
      <c r="G7" t="n">
        <v>160000</v>
      </c>
    </row>
    <row r="8">
      <c r="A8" t="inlineStr">
        <is>
          <t>Product Designer</t>
        </is>
      </c>
      <c r="B8" t="inlineStr">
        <is>
          <t>R&amp;D</t>
        </is>
      </c>
      <c r="C8" t="inlineStr">
        <is>
          <t>R&amp;D</t>
        </is>
      </c>
      <c r="D8" t="b">
        <v>0</v>
      </c>
      <c r="E8" t="n">
        <v>100000</v>
      </c>
      <c r="F8" t="n">
        <v>85000</v>
      </c>
      <c r="G8" t="n">
        <v>140000</v>
      </c>
    </row>
    <row r="9">
      <c r="A9" t="inlineStr">
        <is>
          <t>Data Engineer</t>
        </is>
      </c>
      <c r="B9" t="inlineStr">
        <is>
          <t>R&amp;D</t>
        </is>
      </c>
      <c r="C9" t="inlineStr">
        <is>
          <t>R&amp;D</t>
        </is>
      </c>
      <c r="D9" t="b">
        <v>0</v>
      </c>
      <c r="E9" t="n">
        <v>115000</v>
      </c>
      <c r="F9" t="n">
        <v>95000</v>
      </c>
      <c r="G9" t="n">
        <v>155000</v>
      </c>
    </row>
    <row r="10">
      <c r="A10" t="inlineStr">
        <is>
          <t>Site Reliability Engineer</t>
        </is>
      </c>
      <c r="B10" t="inlineStr">
        <is>
          <t>Customer Operations</t>
        </is>
      </c>
      <c r="C10" t="inlineStr">
        <is>
          <t>COGS</t>
        </is>
      </c>
      <c r="D10" t="b">
        <v>0</v>
      </c>
      <c r="E10" t="n">
        <v>120000</v>
      </c>
      <c r="F10" t="n">
        <v>105000</v>
      </c>
      <c r="G10" t="n">
        <v>165000</v>
      </c>
    </row>
    <row r="11">
      <c r="A11" t="inlineStr">
        <is>
          <t>Customer Success Manager</t>
        </is>
      </c>
      <c r="B11" t="inlineStr">
        <is>
          <t>Customer Operations</t>
        </is>
      </c>
      <c r="C11" t="inlineStr">
        <is>
          <t>COGS</t>
        </is>
      </c>
      <c r="D11" t="b">
        <v>0</v>
      </c>
      <c r="E11" t="n">
        <v>75000</v>
      </c>
      <c r="F11" t="n">
        <v>65000</v>
      </c>
      <c r="G11" t="n">
        <v>90000</v>
      </c>
    </row>
    <row r="12">
      <c r="A12" t="inlineStr">
        <is>
          <t>Support Engineer</t>
        </is>
      </c>
      <c r="B12" t="inlineStr">
        <is>
          <t>Customer Operations</t>
        </is>
      </c>
      <c r="C12" t="inlineStr">
        <is>
          <t>COGS</t>
        </is>
      </c>
      <c r="D12" t="b">
        <v>0</v>
      </c>
      <c r="E12" t="n">
        <v>65000</v>
      </c>
      <c r="F12" t="n">
        <v>55000</v>
      </c>
      <c r="G12" t="n">
        <v>75000</v>
      </c>
    </row>
    <row r="13">
      <c r="A13" t="inlineStr">
        <is>
          <t>Account Executive</t>
        </is>
      </c>
      <c r="B13" t="inlineStr">
        <is>
          <t>S&amp;M</t>
        </is>
      </c>
      <c r="C13" t="inlineStr">
        <is>
          <t>S&amp;M</t>
        </is>
      </c>
      <c r="D13" t="b">
        <v>1</v>
      </c>
      <c r="E13" t="n">
        <v>90000</v>
      </c>
      <c r="F13" t="n">
        <v>80000</v>
      </c>
      <c r="G13" t="n">
        <v>110000</v>
      </c>
    </row>
    <row r="14">
      <c r="A14" t="inlineStr">
        <is>
          <t>Sales Development Rep</t>
        </is>
      </c>
      <c r="B14" t="inlineStr">
        <is>
          <t>S&amp;M</t>
        </is>
      </c>
      <c r="C14" t="inlineStr">
        <is>
          <t>S&amp;M</t>
        </is>
      </c>
      <c r="D14" t="b">
        <v>1</v>
      </c>
      <c r="E14" t="n">
        <v>55000</v>
      </c>
      <c r="F14" t="n">
        <v>48000</v>
      </c>
      <c r="G14" t="n">
        <v>65000</v>
      </c>
    </row>
    <row r="15">
      <c r="A15" t="inlineStr">
        <is>
          <t>Marketing Manager</t>
        </is>
      </c>
      <c r="B15" t="inlineStr">
        <is>
          <t>S&amp;M</t>
        </is>
      </c>
      <c r="C15" t="inlineStr">
        <is>
          <t>S&amp;M</t>
        </is>
      </c>
      <c r="D15" t="b">
        <v>0</v>
      </c>
      <c r="E15" t="n">
        <v>95000</v>
      </c>
      <c r="F15" t="n">
        <v>80000</v>
      </c>
      <c r="G15" t="n">
        <v>120000</v>
      </c>
    </row>
    <row r="16">
      <c r="A16" t="inlineStr">
        <is>
          <t>Finance &amp; Operations</t>
        </is>
      </c>
      <c r="B16" t="inlineStr">
        <is>
          <t>G&amp;A</t>
        </is>
      </c>
      <c r="C16" t="inlineStr">
        <is>
          <t>G&amp;A</t>
        </is>
      </c>
      <c r="D16" t="b">
        <v>0</v>
      </c>
      <c r="E16" t="n">
        <v>90000</v>
      </c>
      <c r="F16" t="n">
        <v>80000</v>
      </c>
      <c r="G16" t="n">
        <v>115000</v>
      </c>
    </row>
    <row r="17">
      <c r="A17" t="inlineStr">
        <is>
          <t>People &amp; Talent</t>
        </is>
      </c>
      <c r="B17" t="inlineStr">
        <is>
          <t>G&amp;A</t>
        </is>
      </c>
      <c r="C17" t="inlineStr">
        <is>
          <t>G&amp;A</t>
        </is>
      </c>
      <c r="D17" t="b">
        <v>0</v>
      </c>
      <c r="E17" t="n">
        <v>85000</v>
      </c>
      <c r="F17" t="n">
        <v>75000</v>
      </c>
      <c r="G17" t="n">
        <v>105000</v>
      </c>
    </row>
    <row r="18">
      <c r="A18" t="inlineStr">
        <is>
          <t>Executive</t>
        </is>
      </c>
      <c r="B18" t="inlineStr">
        <is>
          <t>G&amp;A</t>
        </is>
      </c>
      <c r="C18" t="inlineStr">
        <is>
          <t>G&amp;A</t>
        </is>
      </c>
      <c r="D18" t="b">
        <v>0</v>
      </c>
      <c r="E18" t="n">
        <v>240000</v>
      </c>
      <c r="F18" t="n">
        <v>220000</v>
      </c>
      <c r="G18" t="n">
        <v>280000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>
      <c r="A1" s="2" t="inlineStr">
        <is>
          <t>phased and front_loaded are the candidate plans; fy2026_budget is the plan inside the FY2026 budget.</t>
        </is>
      </c>
    </row>
    <row r="3">
      <c r="A3" s="3" t="inlineStr">
        <is>
          <t>plan_id</t>
        </is>
      </c>
      <c r="B3" s="3" t="inlineStr">
        <is>
          <t>role</t>
        </is>
      </c>
      <c r="C3" s="3" t="inlineStr">
        <is>
          <t>location</t>
        </is>
      </c>
      <c r="D3" s="3" t="inlineStr">
        <is>
          <t>start_month</t>
        </is>
      </c>
      <c r="E3" s="3" t="inlineStr">
        <is>
          <t>count</t>
        </is>
      </c>
      <c r="F3" s="3" t="inlineStr">
        <is>
          <t>rationale</t>
        </is>
      </c>
    </row>
    <row r="4">
      <c r="A4" t="inlineStr">
        <is>
          <t>phased</t>
        </is>
      </c>
      <c r="B4" t="inlineStr">
        <is>
          <t>Senior Software Engineer</t>
        </is>
      </c>
      <c r="C4" t="inlineStr">
        <is>
          <t>Montreal</t>
        </is>
      </c>
      <c r="D4" t="inlineStr">
        <is>
          <t>2026-10</t>
        </is>
      </c>
      <c r="E4" t="n">
        <v>2</v>
      </c>
      <c r="F4" t="inlineStr">
        <is>
          <t>Platform reliability squad</t>
        </is>
      </c>
    </row>
    <row r="5">
      <c r="A5" t="inlineStr">
        <is>
          <t>phased</t>
        </is>
      </c>
      <c r="B5" t="inlineStr">
        <is>
          <t>Software Engineer</t>
        </is>
      </c>
      <c r="C5" t="inlineStr">
        <is>
          <t>Montreal</t>
        </is>
      </c>
      <c r="D5" t="inlineStr">
        <is>
          <t>2026-11</t>
        </is>
      </c>
      <c r="E5" t="n">
        <v>2</v>
      </c>
      <c r="F5" t="inlineStr">
        <is>
          <t>Platform reliability squad</t>
        </is>
      </c>
    </row>
    <row r="6">
      <c r="A6" t="inlineStr">
        <is>
          <t>phased</t>
        </is>
      </c>
      <c r="B6" t="inlineStr">
        <is>
          <t>Software Engineer</t>
        </is>
      </c>
      <c r="C6" t="inlineStr">
        <is>
          <t>Paris</t>
        </is>
      </c>
      <c r="D6" t="inlineStr">
        <is>
          <t>2026-11</t>
        </is>
      </c>
      <c r="E6" t="n">
        <v>2</v>
      </c>
      <c r="F6" t="inlineStr">
        <is>
          <t>Insights data pipeline squad</t>
        </is>
      </c>
    </row>
    <row r="7">
      <c r="A7" t="inlineStr">
        <is>
          <t>phased</t>
        </is>
      </c>
      <c r="B7" t="inlineStr">
        <is>
          <t>Data Engineer</t>
        </is>
      </c>
      <c r="C7" t="inlineStr">
        <is>
          <t>Paris</t>
        </is>
      </c>
      <c r="D7" t="inlineStr">
        <is>
          <t>2027-01</t>
        </is>
      </c>
      <c r="E7" t="n">
        <v>2</v>
      </c>
      <c r="F7" t="inlineStr">
        <is>
          <t>Insights data pipeline squad</t>
        </is>
      </c>
    </row>
    <row r="8">
      <c r="A8" t="inlineStr">
        <is>
          <t>phased</t>
        </is>
      </c>
      <c r="B8" t="inlineStr">
        <is>
          <t>Senior Software Engineer</t>
        </is>
      </c>
      <c r="C8" t="inlineStr">
        <is>
          <t>Paris</t>
        </is>
      </c>
      <c r="D8" t="inlineStr">
        <is>
          <t>2027-02</t>
        </is>
      </c>
      <c r="E8" t="n">
        <v>1</v>
      </c>
      <c r="F8" t="inlineStr">
        <is>
          <t>Insights data pipeline squad lead</t>
        </is>
      </c>
    </row>
    <row r="9">
      <c r="A9" t="inlineStr">
        <is>
          <t>phased</t>
        </is>
      </c>
      <c r="B9" t="inlineStr">
        <is>
          <t>Software Engineer</t>
        </is>
      </c>
      <c r="C9" t="inlineStr">
        <is>
          <t>Montreal</t>
        </is>
      </c>
      <c r="D9" t="inlineStr">
        <is>
          <t>2027-03</t>
        </is>
      </c>
      <c r="E9" t="n">
        <v>2</v>
      </c>
      <c r="F9" t="inlineStr">
        <is>
          <t>Integrations squad</t>
        </is>
      </c>
    </row>
    <row r="10">
      <c r="A10" t="inlineStr">
        <is>
          <t>phased</t>
        </is>
      </c>
      <c r="B10" t="inlineStr">
        <is>
          <t>Product Manager</t>
        </is>
      </c>
      <c r="C10" t="inlineStr">
        <is>
          <t>Montreal</t>
        </is>
      </c>
      <c r="D10" t="inlineStr">
        <is>
          <t>2027-01</t>
        </is>
      </c>
      <c r="E10" t="n">
        <v>1</v>
      </c>
      <c r="F10" t="inlineStr">
        <is>
          <t>Insights product owner</t>
        </is>
      </c>
    </row>
    <row r="11">
      <c r="A11" t="inlineStr">
        <is>
          <t>phased</t>
        </is>
      </c>
      <c r="B11" t="inlineStr">
        <is>
          <t>Software Engineer</t>
        </is>
      </c>
      <c r="C11" t="inlineStr">
        <is>
          <t>Paris</t>
        </is>
      </c>
      <c r="D11" t="inlineStr">
        <is>
          <t>2027-05</t>
        </is>
      </c>
      <c r="E11" t="n">
        <v>2</v>
      </c>
      <c r="F11" t="inlineStr">
        <is>
          <t>Integrations squad</t>
        </is>
      </c>
    </row>
    <row r="12">
      <c r="A12" t="inlineStr">
        <is>
          <t>phased</t>
        </is>
      </c>
      <c r="B12" t="inlineStr">
        <is>
          <t>Account Executive</t>
        </is>
      </c>
      <c r="C12" t="inlineStr">
        <is>
          <t>Austin</t>
        </is>
      </c>
      <c r="D12" t="inlineStr">
        <is>
          <t>2026-10</t>
        </is>
      </c>
      <c r="E12" t="n">
        <v>1</v>
      </c>
      <c r="F12" t="inlineStr">
        <is>
          <t>Mid-market pod</t>
        </is>
      </c>
    </row>
    <row r="13">
      <c r="A13" t="inlineStr">
        <is>
          <t>phased</t>
        </is>
      </c>
      <c r="B13" t="inlineStr">
        <is>
          <t>Account Executive</t>
        </is>
      </c>
      <c r="C13" t="inlineStr">
        <is>
          <t>Austin</t>
        </is>
      </c>
      <c r="D13" t="inlineStr">
        <is>
          <t>2027-01</t>
        </is>
      </c>
      <c r="E13" t="n">
        <v>2</v>
      </c>
      <c r="F13" t="inlineStr">
        <is>
          <t>Mid-market pod</t>
        </is>
      </c>
    </row>
    <row r="14">
      <c r="A14" t="inlineStr">
        <is>
          <t>phased</t>
        </is>
      </c>
      <c r="B14" t="inlineStr">
        <is>
          <t>Account Executive</t>
        </is>
      </c>
      <c r="C14" t="inlineStr">
        <is>
          <t>Austin</t>
        </is>
      </c>
      <c r="D14" t="inlineStr">
        <is>
          <t>2027-04</t>
        </is>
      </c>
      <c r="E14" t="n">
        <v>1</v>
      </c>
      <c r="F14" t="inlineStr">
        <is>
          <t>Mid-market pod</t>
        </is>
      </c>
    </row>
    <row r="15">
      <c r="A15" t="inlineStr">
        <is>
          <t>phased</t>
        </is>
      </c>
      <c r="B15" t="inlineStr">
        <is>
          <t>Sales Development Rep</t>
        </is>
      </c>
      <c r="C15" t="inlineStr">
        <is>
          <t>Austin</t>
        </is>
      </c>
      <c r="D15" t="inlineStr">
        <is>
          <t>2027-01</t>
        </is>
      </c>
      <c r="E15" t="n">
        <v>2</v>
      </c>
      <c r="F15" t="inlineStr">
        <is>
          <t>Pipeline coverage for new AEs</t>
        </is>
      </c>
    </row>
    <row r="16">
      <c r="A16" t="inlineStr">
        <is>
          <t>phased</t>
        </is>
      </c>
      <c r="B16" t="inlineStr">
        <is>
          <t>Marketing Manager</t>
        </is>
      </c>
      <c r="C16" t="inlineStr">
        <is>
          <t>Austin</t>
        </is>
      </c>
      <c r="D16" t="inlineStr">
        <is>
          <t>2027-02</t>
        </is>
      </c>
      <c r="E16" t="n">
        <v>1</v>
      </c>
      <c r="F16" t="inlineStr">
        <is>
          <t>Demand generation for Insights</t>
        </is>
      </c>
    </row>
    <row r="17">
      <c r="A17" t="inlineStr">
        <is>
          <t>phased</t>
        </is>
      </c>
      <c r="B17" t="inlineStr">
        <is>
          <t>Finance &amp; Operations</t>
        </is>
      </c>
      <c r="C17" t="inlineStr">
        <is>
          <t>Montreal</t>
        </is>
      </c>
      <c r="D17" t="inlineStr">
        <is>
          <t>2027-01</t>
        </is>
      </c>
      <c r="E17" t="n">
        <v>1</v>
      </c>
      <c r="F17" t="inlineStr">
        <is>
          <t>Planning and billing operations</t>
        </is>
      </c>
    </row>
    <row r="18">
      <c r="A18" t="inlineStr">
        <is>
          <t>front_loaded</t>
        </is>
      </c>
      <c r="B18" t="inlineStr">
        <is>
          <t>Senior Software Engineer</t>
        </is>
      </c>
      <c r="C18" t="inlineStr">
        <is>
          <t>Montreal</t>
        </is>
      </c>
      <c r="D18" t="inlineStr">
        <is>
          <t>2026-10</t>
        </is>
      </c>
      <c r="E18" t="n">
        <v>2</v>
      </c>
      <c r="F18" t="inlineStr">
        <is>
          <t>Platform reliability squad</t>
        </is>
      </c>
    </row>
    <row r="19">
      <c r="A19" t="inlineStr">
        <is>
          <t>front_loaded</t>
        </is>
      </c>
      <c r="B19" t="inlineStr">
        <is>
          <t>Software Engineer</t>
        </is>
      </c>
      <c r="C19" t="inlineStr">
        <is>
          <t>Montreal</t>
        </is>
      </c>
      <c r="D19" t="inlineStr">
        <is>
          <t>2026-10</t>
        </is>
      </c>
      <c r="E19" t="n">
        <v>2</v>
      </c>
      <c r="F19" t="inlineStr">
        <is>
          <t>Platform reliability squad</t>
        </is>
      </c>
    </row>
    <row r="20">
      <c r="A20" t="inlineStr">
        <is>
          <t>front_loaded</t>
        </is>
      </c>
      <c r="B20" t="inlineStr">
        <is>
          <t>Software Engineer</t>
        </is>
      </c>
      <c r="C20" t="inlineStr">
        <is>
          <t>Paris</t>
        </is>
      </c>
      <c r="D20" t="inlineStr">
        <is>
          <t>2026-10</t>
        </is>
      </c>
      <c r="E20" t="n">
        <v>2</v>
      </c>
      <c r="F20" t="inlineStr">
        <is>
          <t>Insights data pipeline squad</t>
        </is>
      </c>
    </row>
    <row r="21">
      <c r="A21" t="inlineStr">
        <is>
          <t>front_loaded</t>
        </is>
      </c>
      <c r="B21" t="inlineStr">
        <is>
          <t>Data Engineer</t>
        </is>
      </c>
      <c r="C21" t="inlineStr">
        <is>
          <t>Paris</t>
        </is>
      </c>
      <c r="D21" t="inlineStr">
        <is>
          <t>2026-11</t>
        </is>
      </c>
      <c r="E21" t="n">
        <v>2</v>
      </c>
      <c r="F21" t="inlineStr">
        <is>
          <t>Insights data pipeline squad</t>
        </is>
      </c>
    </row>
    <row r="22">
      <c r="A22" t="inlineStr">
        <is>
          <t>front_loaded</t>
        </is>
      </c>
      <c r="B22" t="inlineStr">
        <is>
          <t>Senior Software Engineer</t>
        </is>
      </c>
      <c r="C22" t="inlineStr">
        <is>
          <t>Paris</t>
        </is>
      </c>
      <c r="D22" t="inlineStr">
        <is>
          <t>2026-11</t>
        </is>
      </c>
      <c r="E22" t="n">
        <v>1</v>
      </c>
      <c r="F22" t="inlineStr">
        <is>
          <t>Insights data pipeline squad lead</t>
        </is>
      </c>
    </row>
    <row r="23">
      <c r="A23" t="inlineStr">
        <is>
          <t>front_loaded</t>
        </is>
      </c>
      <c r="B23" t="inlineStr">
        <is>
          <t>Software Engineer</t>
        </is>
      </c>
      <c r="C23" t="inlineStr">
        <is>
          <t>Montreal</t>
        </is>
      </c>
      <c r="D23" t="inlineStr">
        <is>
          <t>2026-11</t>
        </is>
      </c>
      <c r="E23" t="n">
        <v>2</v>
      </c>
      <c r="F23" t="inlineStr">
        <is>
          <t>Integrations squad</t>
        </is>
      </c>
    </row>
    <row r="24">
      <c r="A24" t="inlineStr">
        <is>
          <t>front_loaded</t>
        </is>
      </c>
      <c r="B24" t="inlineStr">
        <is>
          <t>Product Manager</t>
        </is>
      </c>
      <c r="C24" t="inlineStr">
        <is>
          <t>Montreal</t>
        </is>
      </c>
      <c r="D24" t="inlineStr">
        <is>
          <t>2026-10</t>
        </is>
      </c>
      <c r="E24" t="n">
        <v>1</v>
      </c>
      <c r="F24" t="inlineStr">
        <is>
          <t>Insights product owner</t>
        </is>
      </c>
    </row>
    <row r="25">
      <c r="A25" t="inlineStr">
        <is>
          <t>front_loaded</t>
        </is>
      </c>
      <c r="B25" t="inlineStr">
        <is>
          <t>Software Engineer</t>
        </is>
      </c>
      <c r="C25" t="inlineStr">
        <is>
          <t>Paris</t>
        </is>
      </c>
      <c r="D25" t="inlineStr">
        <is>
          <t>2026-12</t>
        </is>
      </c>
      <c r="E25" t="n">
        <v>2</v>
      </c>
      <c r="F25" t="inlineStr">
        <is>
          <t>Integrations squad</t>
        </is>
      </c>
    </row>
    <row r="26">
      <c r="A26" t="inlineStr">
        <is>
          <t>front_loaded</t>
        </is>
      </c>
      <c r="B26" t="inlineStr">
        <is>
          <t>Software Engineer</t>
        </is>
      </c>
      <c r="C26" t="inlineStr">
        <is>
          <t>Paris</t>
        </is>
      </c>
      <c r="D26" t="inlineStr">
        <is>
          <t>2026-12</t>
        </is>
      </c>
      <c r="E26" t="n">
        <v>2</v>
      </c>
      <c r="F26" t="inlineStr">
        <is>
          <t>Additional Insights capacity</t>
        </is>
      </c>
    </row>
    <row r="27">
      <c r="A27" t="inlineStr">
        <is>
          <t>front_loaded</t>
        </is>
      </c>
      <c r="B27" t="inlineStr">
        <is>
          <t>Senior Software Engineer</t>
        </is>
      </c>
      <c r="C27" t="inlineStr">
        <is>
          <t>Montreal</t>
        </is>
      </c>
      <c r="D27" t="inlineStr">
        <is>
          <t>2027-01</t>
        </is>
      </c>
      <c r="E27" t="n">
        <v>2</v>
      </c>
      <c r="F27" t="inlineStr">
        <is>
          <t>Additional platform capacity</t>
        </is>
      </c>
    </row>
    <row r="28">
      <c r="A28" t="inlineStr">
        <is>
          <t>front_loaded</t>
        </is>
      </c>
      <c r="B28" t="inlineStr">
        <is>
          <t>Account Executive</t>
        </is>
      </c>
      <c r="C28" t="inlineStr">
        <is>
          <t>Austin</t>
        </is>
      </c>
      <c r="D28" t="inlineStr">
        <is>
          <t>2026-10</t>
        </is>
      </c>
      <c r="E28" t="n">
        <v>2</v>
      </c>
      <c r="F28" t="inlineStr">
        <is>
          <t>Mid-market pod</t>
        </is>
      </c>
    </row>
    <row r="29">
      <c r="A29" t="inlineStr">
        <is>
          <t>front_loaded</t>
        </is>
      </c>
      <c r="B29" t="inlineStr">
        <is>
          <t>Account Executive</t>
        </is>
      </c>
      <c r="C29" t="inlineStr">
        <is>
          <t>Austin</t>
        </is>
      </c>
      <c r="D29" t="inlineStr">
        <is>
          <t>2026-11</t>
        </is>
      </c>
      <c r="E29" t="n">
        <v>2</v>
      </c>
      <c r="F29" t="inlineStr">
        <is>
          <t>Mid-market pod</t>
        </is>
      </c>
    </row>
    <row r="30">
      <c r="A30" t="inlineStr">
        <is>
          <t>front_loaded</t>
        </is>
      </c>
      <c r="B30" t="inlineStr">
        <is>
          <t>Account Executive</t>
        </is>
      </c>
      <c r="C30" t="inlineStr">
        <is>
          <t>Austin</t>
        </is>
      </c>
      <c r="D30" t="inlineStr">
        <is>
          <t>2027-01</t>
        </is>
      </c>
      <c r="E30" t="n">
        <v>2</v>
      </c>
      <c r="F30" t="inlineStr">
        <is>
          <t>Enterprise pod</t>
        </is>
      </c>
    </row>
    <row r="31">
      <c r="A31" t="inlineStr">
        <is>
          <t>front_loaded</t>
        </is>
      </c>
      <c r="B31" t="inlineStr">
        <is>
          <t>Sales Development Rep</t>
        </is>
      </c>
      <c r="C31" t="inlineStr">
        <is>
          <t>Austin</t>
        </is>
      </c>
      <c r="D31" t="inlineStr">
        <is>
          <t>2026-11</t>
        </is>
      </c>
      <c r="E31" t="n">
        <v>3</v>
      </c>
      <c r="F31" t="inlineStr">
        <is>
          <t>Pipeline coverage for new AEs</t>
        </is>
      </c>
    </row>
    <row r="32">
      <c r="A32" t="inlineStr">
        <is>
          <t>front_loaded</t>
        </is>
      </c>
      <c r="B32" t="inlineStr">
        <is>
          <t>Marketing Manager</t>
        </is>
      </c>
      <c r="C32" t="inlineStr">
        <is>
          <t>Austin</t>
        </is>
      </c>
      <c r="D32" t="inlineStr">
        <is>
          <t>2026-11</t>
        </is>
      </c>
      <c r="E32" t="n">
        <v>1</v>
      </c>
      <c r="F32" t="inlineStr">
        <is>
          <t>Demand generation for Insights</t>
        </is>
      </c>
    </row>
    <row r="33">
      <c r="A33" t="inlineStr">
        <is>
          <t>front_loaded</t>
        </is>
      </c>
      <c r="B33" t="inlineStr">
        <is>
          <t>Finance &amp; Operations</t>
        </is>
      </c>
      <c r="C33" t="inlineStr">
        <is>
          <t>Montreal</t>
        </is>
      </c>
      <c r="D33" t="inlineStr">
        <is>
          <t>2027-01</t>
        </is>
      </c>
      <c r="E33" t="n">
        <v>1</v>
      </c>
      <c r="F33" t="inlineStr">
        <is>
          <t>Planning and billing operations</t>
        </is>
      </c>
    </row>
    <row r="34">
      <c r="A34" t="inlineStr">
        <is>
          <t>fy2026_budget</t>
        </is>
      </c>
      <c r="B34" t="inlineStr">
        <is>
          <t>Software Engineer</t>
        </is>
      </c>
      <c r="C34" t="inlineStr">
        <is>
          <t>Montreal</t>
        </is>
      </c>
      <c r="D34" t="inlineStr">
        <is>
          <t>2026-01</t>
        </is>
      </c>
      <c r="E34" t="n">
        <v>3</v>
      </c>
      <c r="F34" t="inlineStr">
        <is>
          <t>FY2026 budget: platform squad</t>
        </is>
      </c>
    </row>
    <row r="35">
      <c r="A35" t="inlineStr">
        <is>
          <t>fy2026_budget</t>
        </is>
      </c>
      <c r="B35" t="inlineStr">
        <is>
          <t>Senior Software Engineer</t>
        </is>
      </c>
      <c r="C35" t="inlineStr">
        <is>
          <t>Montreal</t>
        </is>
      </c>
      <c r="D35" t="inlineStr">
        <is>
          <t>2026-02</t>
        </is>
      </c>
      <c r="E35" t="n">
        <v>2</v>
      </c>
      <c r="F35" t="inlineStr">
        <is>
          <t>FY2026 budget: platform squad</t>
        </is>
      </c>
    </row>
    <row r="36">
      <c r="A36" t="inlineStr">
        <is>
          <t>fy2026_budget</t>
        </is>
      </c>
      <c r="B36" t="inlineStr">
        <is>
          <t>Software Engineer</t>
        </is>
      </c>
      <c r="C36" t="inlineStr">
        <is>
          <t>Paris</t>
        </is>
      </c>
      <c r="D36" t="inlineStr">
        <is>
          <t>2026-02</t>
        </is>
      </c>
      <c r="E36" t="n">
        <v>3</v>
      </c>
      <c r="F36" t="inlineStr">
        <is>
          <t>FY2026 budget: Insights squad</t>
        </is>
      </c>
    </row>
    <row r="37">
      <c r="A37" t="inlineStr">
        <is>
          <t>fy2026_budget</t>
        </is>
      </c>
      <c r="B37" t="inlineStr">
        <is>
          <t>Data Engineer</t>
        </is>
      </c>
      <c r="C37" t="inlineStr">
        <is>
          <t>Paris</t>
        </is>
      </c>
      <c r="D37" t="inlineStr">
        <is>
          <t>2026-03</t>
        </is>
      </c>
      <c r="E37" t="n">
        <v>2</v>
      </c>
      <c r="F37" t="inlineStr">
        <is>
          <t>FY2026 budget: Insights squad</t>
        </is>
      </c>
    </row>
    <row r="38">
      <c r="A38" t="inlineStr">
        <is>
          <t>fy2026_budget</t>
        </is>
      </c>
      <c r="B38" t="inlineStr">
        <is>
          <t>Account Executive</t>
        </is>
      </c>
      <c r="C38" t="inlineStr">
        <is>
          <t>Austin</t>
        </is>
      </c>
      <c r="D38" t="inlineStr">
        <is>
          <t>2026-01</t>
        </is>
      </c>
      <c r="E38" t="n">
        <v>2</v>
      </c>
      <c r="F38" t="inlineStr">
        <is>
          <t>FY2026 budget: mid-market pod</t>
        </is>
      </c>
    </row>
    <row r="39">
      <c r="A39" t="inlineStr">
        <is>
          <t>fy2026_budget</t>
        </is>
      </c>
      <c r="B39" t="inlineStr">
        <is>
          <t>Sales Development Rep</t>
        </is>
      </c>
      <c r="C39" t="inlineStr">
        <is>
          <t>Austin</t>
        </is>
      </c>
      <c r="D39" t="inlineStr">
        <is>
          <t>2026-02</t>
        </is>
      </c>
      <c r="E39" t="n">
        <v>1</v>
      </c>
      <c r="F39" t="inlineStr">
        <is>
          <t>FY2026 budget: pipeline coverage</t>
        </is>
      </c>
    </row>
    <row r="40">
      <c r="A40" t="inlineStr">
        <is>
          <t>fy2026_budget</t>
        </is>
      </c>
      <c r="B40" t="inlineStr">
        <is>
          <t>Marketing Manager</t>
        </is>
      </c>
      <c r="C40" t="inlineStr">
        <is>
          <t>Austin</t>
        </is>
      </c>
      <c r="D40" t="inlineStr">
        <is>
          <t>2026-04</t>
        </is>
      </c>
      <c r="E40" t="n">
        <v>1</v>
      </c>
      <c r="F40" t="inlineStr">
        <is>
          <t>FY2026 budget: demand generation</t>
        </is>
      </c>
    </row>
    <row r="41">
      <c r="A41" t="inlineStr">
        <is>
          <t>fy2026_budget</t>
        </is>
      </c>
      <c r="B41" t="inlineStr">
        <is>
          <t>Customer Success Manager</t>
        </is>
      </c>
      <c r="C41" t="inlineStr">
        <is>
          <t>Austin</t>
        </is>
      </c>
      <c r="D41" t="inlineStr">
        <is>
          <t>2026-03</t>
        </is>
      </c>
      <c r="E41" t="n">
        <v>2</v>
      </c>
      <c r="F41" t="inlineStr">
        <is>
          <t>FY2026 budget: coverage</t>
        </is>
      </c>
    </row>
    <row r="42">
      <c r="A42" t="inlineStr">
        <is>
          <t>fy2026_budget</t>
        </is>
      </c>
      <c r="B42" t="inlineStr">
        <is>
          <t>Finance &amp; Operations</t>
        </is>
      </c>
      <c r="C42" t="inlineStr">
        <is>
          <t>Montreal</t>
        </is>
      </c>
      <c r="D42" t="inlineStr">
        <is>
          <t>2026-02</t>
        </is>
      </c>
      <c r="E42" t="n">
        <v>1</v>
      </c>
      <c r="F42" t="inlineStr">
        <is>
          <t>FY2026 budget: billing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One row per option: guardrail results and headline outcomes. Feasible = both guardrails hold.</t>
        </is>
      </c>
    </row>
    <row r="3">
      <c r="A3" s="3" t="inlineStr">
        <is>
          <t>option_id</t>
        </is>
      </c>
      <c r="B3" s="3" t="inlineStr">
        <is>
          <t>label</t>
        </is>
      </c>
      <c r="C3" s="3" t="inlineStr">
        <is>
          <t>downside_runway_min</t>
        </is>
      </c>
      <c r="D3" s="3" t="inlineStr">
        <is>
          <t>runway_ok</t>
        </is>
      </c>
      <c r="E3" s="3" t="inlineStr">
        <is>
          <t>base_gm_min</t>
        </is>
      </c>
      <c r="F3" s="3" t="inlineStr">
        <is>
          <t>gm_ok</t>
        </is>
      </c>
      <c r="G3" s="3" t="inlineStr">
        <is>
          <t>feasible</t>
        </is>
      </c>
      <c r="H3" s="3" t="inlineStr">
        <is>
          <t>base_arr_end</t>
        </is>
      </c>
      <c r="I3" s="3" t="inlineStr">
        <is>
          <t>base_cum_burn</t>
        </is>
      </c>
      <c r="J3" s="3" t="inlineStr">
        <is>
          <t>upside_arr_end</t>
        </is>
      </c>
      <c r="K3" s="3" t="inlineStr">
        <is>
          <t>downside_arr_end</t>
        </is>
      </c>
      <c r="L3" s="3" t="inlineStr">
        <is>
          <t>downside_cash_min</t>
        </is>
      </c>
    </row>
    <row r="4">
      <c r="A4" t="inlineStr">
        <is>
          <t>hold_ondemand</t>
        </is>
      </c>
      <c r="B4" t="inlineStr">
        <is>
          <t>Hold hiring; cloud on demand</t>
        </is>
      </c>
      <c r="C4" t="n">
        <v>43.74858228604771</v>
      </c>
      <c r="D4" t="b">
        <v>1</v>
      </c>
      <c r="E4" t="n">
        <v>0.7286010119945154</v>
      </c>
      <c r="F4" t="b">
        <v>0</v>
      </c>
      <c r="G4" t="b">
        <v>0</v>
      </c>
      <c r="H4" t="n">
        <v>38325017.22274269</v>
      </c>
      <c r="I4" t="n">
        <v>4149447.584220993</v>
      </c>
      <c r="J4" t="n">
        <v>44853935.26331823</v>
      </c>
      <c r="K4" t="n">
        <v>28548915.33437365</v>
      </c>
      <c r="L4" t="n">
        <v>17045570.51074057</v>
      </c>
    </row>
    <row r="5">
      <c r="A5" t="inlineStr">
        <is>
          <t>hold_commit</t>
        </is>
      </c>
      <c r="B5" t="inlineStr">
        <is>
          <t>Hold hiring; one-year cloud commitment</t>
        </is>
      </c>
      <c r="C5" t="n">
        <v>47.8076163964349</v>
      </c>
      <c r="D5" t="b">
        <v>1</v>
      </c>
      <c r="E5" t="n">
        <v>0.748396017016602</v>
      </c>
      <c r="F5" t="b">
        <v>1</v>
      </c>
      <c r="G5" t="b">
        <v>1</v>
      </c>
      <c r="H5" t="n">
        <v>38325017.22274269</v>
      </c>
      <c r="I5" t="n">
        <v>3339990.726860025</v>
      </c>
      <c r="J5" t="n">
        <v>44853935.26331823</v>
      </c>
      <c r="K5" t="n">
        <v>28548915.33437365</v>
      </c>
      <c r="L5" t="n">
        <v>17805272.25835203</v>
      </c>
    </row>
    <row r="6">
      <c r="A6" t="inlineStr">
        <is>
          <t>phased_ondemand</t>
        </is>
      </c>
      <c r="B6" t="inlineStr">
        <is>
          <t>Phased plan; cloud on demand</t>
        </is>
      </c>
      <c r="C6" t="n">
        <v>20.64896637967572</v>
      </c>
      <c r="D6" t="b">
        <v>1</v>
      </c>
      <c r="E6" t="n">
        <v>0.7286010119945154</v>
      </c>
      <c r="F6" t="b">
        <v>0</v>
      </c>
      <c r="G6" t="b">
        <v>0</v>
      </c>
      <c r="H6" t="n">
        <v>40498712.36977075</v>
      </c>
      <c r="I6" t="n">
        <v>8619868.077443773</v>
      </c>
      <c r="J6" t="n">
        <v>47700305.93642757</v>
      </c>
      <c r="K6" t="n">
        <v>29686367.20881747</v>
      </c>
      <c r="L6" t="n">
        <v>12686738.06278883</v>
      </c>
    </row>
    <row r="7">
      <c r="A7" t="inlineStr">
        <is>
          <t>phased_commit</t>
        </is>
      </c>
      <c r="B7" t="inlineStr">
        <is>
          <t>Phased plan; one-year cloud commitment</t>
        </is>
      </c>
      <c r="C7" t="n">
        <v>23.2822077022558</v>
      </c>
      <c r="D7" t="b">
        <v>1</v>
      </c>
      <c r="E7" t="n">
        <v>0.748396017016602</v>
      </c>
      <c r="F7" t="b">
        <v>1</v>
      </c>
      <c r="G7" t="b">
        <v>1</v>
      </c>
      <c r="H7" t="n">
        <v>40498712.36977075</v>
      </c>
      <c r="I7" t="n">
        <v>7810224.082589523</v>
      </c>
      <c r="J7" t="n">
        <v>47700305.93642757</v>
      </c>
      <c r="K7" t="n">
        <v>29686367.20881747</v>
      </c>
      <c r="L7" t="n">
        <v>13466842.10485637</v>
      </c>
    </row>
    <row r="8">
      <c r="A8" t="inlineStr">
        <is>
          <t>front_ondemand</t>
        </is>
      </c>
      <c r="B8" t="inlineStr">
        <is>
          <t>Front-loaded plan with Insights contractors; cloud on demand</t>
        </is>
      </c>
      <c r="C8" t="n">
        <v>14.66236762848437</v>
      </c>
      <c r="D8" t="b">
        <v>0</v>
      </c>
      <c r="E8" t="n">
        <v>0.7286010119945154</v>
      </c>
      <c r="F8" t="b">
        <v>0</v>
      </c>
      <c r="G8" t="b">
        <v>0</v>
      </c>
      <c r="H8" t="n">
        <v>42210227.18953245</v>
      </c>
      <c r="I8" t="n">
        <v>11446437.53364766</v>
      </c>
      <c r="J8" t="n">
        <v>49826906.70635396</v>
      </c>
      <c r="K8" t="n">
        <v>30601463.66575665</v>
      </c>
      <c r="L8" t="n">
        <v>9891945.777673658</v>
      </c>
    </row>
    <row r="9">
      <c r="A9" t="inlineStr">
        <is>
          <t>front_commit</t>
        </is>
      </c>
      <c r="B9" t="inlineStr">
        <is>
          <t>Front-loaded plan with Insights contractors; one-year cloud commitment</t>
        </is>
      </c>
      <c r="C9" t="n">
        <v>16.89525153606453</v>
      </c>
      <c r="D9" t="b">
        <v>0</v>
      </c>
      <c r="E9" t="n">
        <v>0.748396017016602</v>
      </c>
      <c r="F9" t="b">
        <v>1</v>
      </c>
      <c r="G9" t="b">
        <v>0</v>
      </c>
      <c r="H9" t="n">
        <v>42210227.18953245</v>
      </c>
      <c r="I9" t="n">
        <v>10636615.99978032</v>
      </c>
      <c r="J9" t="n">
        <v>49826906.70635396</v>
      </c>
      <c r="K9" t="n">
        <v>30601463.66575665</v>
      </c>
      <c r="L9" t="n">
        <v>10685918.63285368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Every option under every scenario: 18 runs of the same engine.</t>
        </is>
      </c>
    </row>
    <row r="3">
      <c r="A3" s="3" t="inlineStr">
        <is>
          <t>option_id</t>
        </is>
      </c>
      <c r="B3" s="3" t="inlineStr">
        <is>
          <t>scenario</t>
        </is>
      </c>
      <c r="C3" s="3" t="inlineStr">
        <is>
          <t>arr_end</t>
        </is>
      </c>
      <c r="D3" s="3" t="inlineStr">
        <is>
          <t>arr_growth</t>
        </is>
      </c>
      <c r="E3" s="3" t="inlineStr">
        <is>
          <t>revenue_18m</t>
        </is>
      </c>
      <c r="F3" s="3" t="inlineStr">
        <is>
          <t>gross_profit_18m</t>
        </is>
      </c>
      <c r="G3" s="3" t="inlineStr">
        <is>
          <t>ebitda_18m</t>
        </is>
      </c>
      <c r="H3" s="3" t="inlineStr">
        <is>
          <t>cum_burn</t>
        </is>
      </c>
      <c r="I3" s="3" t="inlineStr">
        <is>
          <t>cash_end</t>
        </is>
      </c>
      <c r="J3" s="3" t="inlineStr">
        <is>
          <t>cash_min</t>
        </is>
      </c>
      <c r="K3" s="3" t="inlineStr">
        <is>
          <t>runway_min</t>
        </is>
      </c>
      <c r="L3" s="3" t="inlineStr">
        <is>
          <t>gm_min</t>
        </is>
      </c>
      <c r="M3" s="3" t="inlineStr">
        <is>
          <t>gm_avg</t>
        </is>
      </c>
      <c r="N3" s="3" t="inlineStr">
        <is>
          <t>fte_end</t>
        </is>
      </c>
      <c r="O3" s="3" t="inlineStr">
        <is>
          <t>rd_fte_end</t>
        </is>
      </c>
      <c r="P3" s="3" t="inlineStr">
        <is>
          <t>cloud_18m</t>
        </is>
      </c>
      <c r="Q3" s="3" t="inlineStr">
        <is>
          <t>stranded_cost_18m</t>
        </is>
      </c>
      <c r="R3" s="3" t="inlineStr">
        <is>
          <t>plan_hires</t>
        </is>
      </c>
      <c r="S3" s="3" t="inlineStr">
        <is>
          <t>plan_hire_cost_18m</t>
        </is>
      </c>
    </row>
    <row r="4">
      <c r="A4" t="inlineStr">
        <is>
          <t>hold_ondemand</t>
        </is>
      </c>
      <c r="B4" t="inlineStr">
        <is>
          <t>base</t>
        </is>
      </c>
      <c r="C4" t="n">
        <v>38325017.22274269</v>
      </c>
      <c r="D4" t="n">
        <v>0.5802777736314835</v>
      </c>
      <c r="E4" t="n">
        <v>46835089.46266621</v>
      </c>
      <c r="F4" t="n">
        <v>35361604.6676533</v>
      </c>
      <c r="G4" t="n">
        <v>-4970369.135041509</v>
      </c>
      <c r="H4" t="n">
        <v>4149447.584220993</v>
      </c>
      <c r="I4" t="n">
        <v>20600831.60317751</v>
      </c>
      <c r="J4" t="n">
        <v>20074089.72721884</v>
      </c>
      <c r="K4" t="n">
        <v>36.41458321764019</v>
      </c>
      <c r="L4" t="n">
        <v>0.7286010119945154</v>
      </c>
      <c r="M4" t="n">
        <v>0.7550237455154474</v>
      </c>
      <c r="N4" t="n">
        <v>139.16</v>
      </c>
      <c r="O4" t="n">
        <v>70.56</v>
      </c>
      <c r="P4" t="n">
        <v>4225935.874702214</v>
      </c>
      <c r="Q4" t="n">
        <v>0</v>
      </c>
      <c r="R4" t="n">
        <v>0</v>
      </c>
      <c r="S4" t="n">
        <v>0</v>
      </c>
    </row>
    <row r="5">
      <c r="A5" t="inlineStr">
        <is>
          <t>hold_ondemand</t>
        </is>
      </c>
      <c r="B5" t="inlineStr">
        <is>
          <t>upside</t>
        </is>
      </c>
      <c r="C5" t="n">
        <v>44853935.26331823</v>
      </c>
      <c r="D5" t="n">
        <v>0.8494884567061556</v>
      </c>
      <c r="E5" t="n">
        <v>51311656.71571599</v>
      </c>
      <c r="F5" t="n">
        <v>39068260.80617286</v>
      </c>
      <c r="G5" t="n">
        <v>-2519727.015163423</v>
      </c>
      <c r="H5" t="n">
        <v>1324951.911976002</v>
      </c>
      <c r="I5" t="n">
        <v>23425327.27542251</v>
      </c>
      <c r="J5" t="n">
        <v>21087638.28238203</v>
      </c>
      <c r="K5" t="n">
        <v>34.2291299557174</v>
      </c>
      <c r="L5" t="n">
        <v>0.7294088454506785</v>
      </c>
      <c r="M5" t="n">
        <v>0.7613915298549858</v>
      </c>
      <c r="N5" t="n">
        <v>141.12</v>
      </c>
      <c r="O5" t="n">
        <v>70.56</v>
      </c>
      <c r="P5" t="n">
        <v>4689592.701745205</v>
      </c>
      <c r="Q5" t="n">
        <v>0</v>
      </c>
      <c r="R5" t="n">
        <v>2</v>
      </c>
      <c r="S5" t="n">
        <v>106396.695</v>
      </c>
    </row>
    <row r="6">
      <c r="A6" t="inlineStr">
        <is>
          <t>hold_ondemand</t>
        </is>
      </c>
      <c r="B6" t="inlineStr">
        <is>
          <t>downside</t>
        </is>
      </c>
      <c r="C6" t="n">
        <v>28548915.33437365</v>
      </c>
      <c r="D6" t="n">
        <v>0.1771740662761032</v>
      </c>
      <c r="E6" t="n">
        <v>39610105.81412549</v>
      </c>
      <c r="F6" t="n">
        <v>29144874.16755329</v>
      </c>
      <c r="G6" t="n">
        <v>-7955357.617323595</v>
      </c>
      <c r="H6" t="n">
        <v>7704708.676657941</v>
      </c>
      <c r="I6" t="n">
        <v>17045570.51074057</v>
      </c>
      <c r="J6" t="n">
        <v>17045570.51074057</v>
      </c>
      <c r="K6" t="n">
        <v>43.74858228604771</v>
      </c>
      <c r="L6" t="n">
        <v>0.7265200127449212</v>
      </c>
      <c r="M6" t="n">
        <v>0.7357938982621915</v>
      </c>
      <c r="N6" t="n">
        <v>139.16</v>
      </c>
      <c r="O6" t="n">
        <v>70.56</v>
      </c>
      <c r="P6" t="n">
        <v>3542806.990445841</v>
      </c>
      <c r="Q6" t="n">
        <v>0</v>
      </c>
      <c r="R6" t="n">
        <v>0</v>
      </c>
      <c r="S6" t="n">
        <v>0</v>
      </c>
    </row>
    <row r="7">
      <c r="A7" t="inlineStr">
        <is>
          <t>hold_commit</t>
        </is>
      </c>
      <c r="B7" t="inlineStr">
        <is>
          <t>base</t>
        </is>
      </c>
      <c r="C7" t="n">
        <v>38325017.22274269</v>
      </c>
      <c r="D7" t="n">
        <v>0.5802777736314835</v>
      </c>
      <c r="E7" t="n">
        <v>46835089.46266621</v>
      </c>
      <c r="F7" t="n">
        <v>36171061.52501427</v>
      </c>
      <c r="G7" t="n">
        <v>-4160912.277680541</v>
      </c>
      <c r="H7" t="n">
        <v>3339990.726860025</v>
      </c>
      <c r="I7" t="n">
        <v>21410288.46053848</v>
      </c>
      <c r="J7" t="n">
        <v>20715214.53634226</v>
      </c>
      <c r="K7" t="n">
        <v>38.88652593299336</v>
      </c>
      <c r="L7" t="n">
        <v>0.748396017016602</v>
      </c>
      <c r="M7" t="n">
        <v>0.7723068737564261</v>
      </c>
      <c r="N7" t="n">
        <v>139.16</v>
      </c>
      <c r="O7" t="n">
        <v>70.56</v>
      </c>
      <c r="P7" t="n">
        <v>3416479.017341247</v>
      </c>
      <c r="Q7" t="n">
        <v>42596.58099359579</v>
      </c>
      <c r="R7" t="n">
        <v>0</v>
      </c>
      <c r="S7" t="n">
        <v>0</v>
      </c>
    </row>
    <row r="8">
      <c r="A8" t="inlineStr">
        <is>
          <t>hold_commit</t>
        </is>
      </c>
      <c r="B8" t="inlineStr">
        <is>
          <t>upside</t>
        </is>
      </c>
      <c r="C8" t="n">
        <v>44853935.26331823</v>
      </c>
      <c r="D8" t="n">
        <v>0.8494884567061556</v>
      </c>
      <c r="E8" t="n">
        <v>51311656.71571599</v>
      </c>
      <c r="F8" t="n">
        <v>39875436.98020512</v>
      </c>
      <c r="G8" t="n">
        <v>-1712550.841131152</v>
      </c>
      <c r="H8" t="n">
        <v>517775.7379437305</v>
      </c>
      <c r="I8" t="n">
        <v>24232503.44945478</v>
      </c>
      <c r="J8" t="n">
        <v>21537632.33062476</v>
      </c>
      <c r="K8" t="n">
        <v>36.44606512427087</v>
      </c>
      <c r="L8" t="n">
        <v>0.7493188967698944</v>
      </c>
      <c r="M8" t="n">
        <v>0.7771223837329709</v>
      </c>
      <c r="N8" t="n">
        <v>141.12</v>
      </c>
      <c r="O8" t="n">
        <v>70.56</v>
      </c>
      <c r="P8" t="n">
        <v>3882416.527712934</v>
      </c>
      <c r="Q8" t="n">
        <v>26182.64262959731</v>
      </c>
      <c r="R8" t="n">
        <v>2</v>
      </c>
      <c r="S8" t="n">
        <v>106396.695</v>
      </c>
    </row>
    <row r="9">
      <c r="A9" t="inlineStr">
        <is>
          <t>hold_commit</t>
        </is>
      </c>
      <c r="B9" t="inlineStr">
        <is>
          <t>downside</t>
        </is>
      </c>
      <c r="C9" t="n">
        <v>28548915.33437365</v>
      </c>
      <c r="D9" t="n">
        <v>0.1771740662761032</v>
      </c>
      <c r="E9" t="n">
        <v>39610105.81412549</v>
      </c>
      <c r="F9" t="n">
        <v>29904575.91516475</v>
      </c>
      <c r="G9" t="n">
        <v>-7195655.869712137</v>
      </c>
      <c r="H9" t="n">
        <v>6945006.929046482</v>
      </c>
      <c r="I9" t="n">
        <v>17805272.25835203</v>
      </c>
      <c r="J9" t="n">
        <v>17805272.25835203</v>
      </c>
      <c r="K9" t="n">
        <v>47.8076163964349</v>
      </c>
      <c r="L9" t="n">
        <v>0.7461893042844625</v>
      </c>
      <c r="M9" t="n">
        <v>0.7549733912727994</v>
      </c>
      <c r="N9" t="n">
        <v>139.16</v>
      </c>
      <c r="O9" t="n">
        <v>70.56</v>
      </c>
      <c r="P9" t="n">
        <v>2783105.24283438</v>
      </c>
      <c r="Q9" t="n">
        <v>239171.2061538877</v>
      </c>
      <c r="R9" t="n">
        <v>0</v>
      </c>
      <c r="S9" t="n">
        <v>0</v>
      </c>
    </row>
    <row r="10">
      <c r="A10" t="inlineStr">
        <is>
          <t>phased_ondemand</t>
        </is>
      </c>
      <c r="B10" t="inlineStr">
        <is>
          <t>base</t>
        </is>
      </c>
      <c r="C10" t="n">
        <v>40498712.36977075</v>
      </c>
      <c r="D10" t="n">
        <v>0.6699070126096371</v>
      </c>
      <c r="E10" t="n">
        <v>47952579.73785579</v>
      </c>
      <c r="F10" t="n">
        <v>36238413.76542782</v>
      </c>
      <c r="G10" t="n">
        <v>-9487088.51184093</v>
      </c>
      <c r="H10" t="n">
        <v>8619868.077443773</v>
      </c>
      <c r="I10" t="n">
        <v>16130411.10995474</v>
      </c>
      <c r="J10" t="n">
        <v>16080649.47751245</v>
      </c>
      <c r="K10" t="n">
        <v>29.79417987716045</v>
      </c>
      <c r="L10" t="n">
        <v>0.7286010119945154</v>
      </c>
      <c r="M10" t="n">
        <v>0.7557135395745911</v>
      </c>
      <c r="N10" t="n">
        <v>161.7</v>
      </c>
      <c r="O10" t="n">
        <v>84.28</v>
      </c>
      <c r="P10" t="n">
        <v>4373229.878633753</v>
      </c>
      <c r="Q10" t="n">
        <v>0</v>
      </c>
      <c r="R10" t="n">
        <v>23</v>
      </c>
      <c r="S10" t="n">
        <v>3798557.274591667</v>
      </c>
    </row>
    <row r="11">
      <c r="A11" t="inlineStr">
        <is>
          <t>phased_ondemand</t>
        </is>
      </c>
      <c r="B11" t="inlineStr">
        <is>
          <t>upside</t>
        </is>
      </c>
      <c r="C11" t="n">
        <v>47700305.93642757</v>
      </c>
      <c r="D11" t="n">
        <v>0.9668545177333105</v>
      </c>
      <c r="E11" t="n">
        <v>52744032.40486471</v>
      </c>
      <c r="F11" t="n">
        <v>40172456.9911276</v>
      </c>
      <c r="G11" t="n">
        <v>-7029722.27781716</v>
      </c>
      <c r="H11" t="n">
        <v>5749408.885365026</v>
      </c>
      <c r="I11" t="n">
        <v>19000870.30203348</v>
      </c>
      <c r="J11" t="n">
        <v>18079217.43277903</v>
      </c>
      <c r="K11" t="n">
        <v>30.36935528248607</v>
      </c>
      <c r="L11" t="n">
        <v>0.7294088454506785</v>
      </c>
      <c r="M11" t="n">
        <v>0.7616493309188547</v>
      </c>
      <c r="N11" t="n">
        <v>163.66</v>
      </c>
      <c r="O11" t="n">
        <v>84.28</v>
      </c>
      <c r="P11" t="n">
        <v>4871648.268827494</v>
      </c>
      <c r="Q11" t="n">
        <v>0</v>
      </c>
      <c r="R11" t="n">
        <v>25</v>
      </c>
      <c r="S11" t="n">
        <v>3944307.969591667</v>
      </c>
    </row>
    <row r="12">
      <c r="A12" t="inlineStr">
        <is>
          <t>phased_ondemand</t>
        </is>
      </c>
      <c r="B12" t="inlineStr">
        <is>
          <t>downside</t>
        </is>
      </c>
      <c r="C12" t="n">
        <v>29686367.20881747</v>
      </c>
      <c r="D12" t="n">
        <v>0.2240752824011252</v>
      </c>
      <c r="E12" t="n">
        <v>40211019.16797704</v>
      </c>
      <c r="F12" t="n">
        <v>29627033.24321879</v>
      </c>
      <c r="G12" t="n">
        <v>-12303541.42461789</v>
      </c>
      <c r="H12" t="n">
        <v>12063541.12460968</v>
      </c>
      <c r="I12" t="n">
        <v>12686738.06278883</v>
      </c>
      <c r="J12" t="n">
        <v>12686738.06278883</v>
      </c>
      <c r="K12" t="n">
        <v>20.64896637967572</v>
      </c>
      <c r="L12" t="n">
        <v>0.7265200127449212</v>
      </c>
      <c r="M12" t="n">
        <v>0.7367889164772266</v>
      </c>
      <c r="N12" t="n">
        <v>160.72</v>
      </c>
      <c r="O12" t="n">
        <v>84.28</v>
      </c>
      <c r="P12" t="n">
        <v>3634520.167708573</v>
      </c>
      <c r="Q12" t="n">
        <v>0</v>
      </c>
      <c r="R12" t="n">
        <v>22</v>
      </c>
      <c r="S12" t="n">
        <v>3754853.079591666</v>
      </c>
    </row>
    <row r="13">
      <c r="A13" t="inlineStr">
        <is>
          <t>phased_commit</t>
        </is>
      </c>
      <c r="B13" t="inlineStr">
        <is>
          <t>base</t>
        </is>
      </c>
      <c r="C13" t="n">
        <v>40498712.36977075</v>
      </c>
      <c r="D13" t="n">
        <v>0.6699070126096371</v>
      </c>
      <c r="E13" t="n">
        <v>47952579.73785579</v>
      </c>
      <c r="F13" t="n">
        <v>37048057.76028207</v>
      </c>
      <c r="G13" t="n">
        <v>-8677444.516986676</v>
      </c>
      <c r="H13" t="n">
        <v>7810224.082589523</v>
      </c>
      <c r="I13" t="n">
        <v>16940055.10480899</v>
      </c>
      <c r="J13" t="n">
        <v>16800235.0510075</v>
      </c>
      <c r="K13" t="n">
        <v>32.67879434751426</v>
      </c>
      <c r="L13" t="n">
        <v>0.748396017016602</v>
      </c>
      <c r="M13" t="n">
        <v>0.7725978031383109</v>
      </c>
      <c r="N13" t="n">
        <v>161.7</v>
      </c>
      <c r="O13" t="n">
        <v>84.28</v>
      </c>
      <c r="P13" t="n">
        <v>3563585.883779501</v>
      </c>
      <c r="Q13" t="n">
        <v>42035.16851373877</v>
      </c>
      <c r="R13" t="n">
        <v>23</v>
      </c>
      <c r="S13" t="n">
        <v>3798557.274591667</v>
      </c>
    </row>
    <row r="14">
      <c r="A14" t="inlineStr">
        <is>
          <t>phased_commit</t>
        </is>
      </c>
      <c r="B14" t="inlineStr">
        <is>
          <t>upside</t>
        </is>
      </c>
      <c r="C14" t="n">
        <v>47700305.93642757</v>
      </c>
      <c r="D14" t="n">
        <v>0.9668545177333105</v>
      </c>
      <c r="E14" t="n">
        <v>52744032.40486471</v>
      </c>
      <c r="F14" t="n">
        <v>40979655.0514733</v>
      </c>
      <c r="G14" t="n">
        <v>-6222524.217471454</v>
      </c>
      <c r="H14" t="n">
        <v>4942210.82501932</v>
      </c>
      <c r="I14" t="n">
        <v>19808068.36237919</v>
      </c>
      <c r="J14" t="n">
        <v>18721575.0173244</v>
      </c>
      <c r="K14" t="n">
        <v>32.65066347330504</v>
      </c>
      <c r="L14" t="n">
        <v>0.7493188967698944</v>
      </c>
      <c r="M14" t="n">
        <v>0.7769533951616042</v>
      </c>
      <c r="N14" t="n">
        <v>163.66</v>
      </c>
      <c r="O14" t="n">
        <v>84.28</v>
      </c>
      <c r="P14" t="n">
        <v>4064450.208481788</v>
      </c>
      <c r="Q14" t="n">
        <v>26116.98368929697</v>
      </c>
      <c r="R14" t="n">
        <v>25</v>
      </c>
      <c r="S14" t="n">
        <v>3944307.969591667</v>
      </c>
    </row>
    <row r="15">
      <c r="A15" t="inlineStr">
        <is>
          <t>phased_commit</t>
        </is>
      </c>
      <c r="B15" t="inlineStr">
        <is>
          <t>downside</t>
        </is>
      </c>
      <c r="C15" t="n">
        <v>29686367.20881747</v>
      </c>
      <c r="D15" t="n">
        <v>0.2240752824011252</v>
      </c>
      <c r="E15" t="n">
        <v>40211019.16797704</v>
      </c>
      <c r="F15" t="n">
        <v>30407137.28528633</v>
      </c>
      <c r="G15" t="n">
        <v>-11523437.38255035</v>
      </c>
      <c r="H15" t="n">
        <v>11283437.08254214</v>
      </c>
      <c r="I15" t="n">
        <v>13466842.10485637</v>
      </c>
      <c r="J15" t="n">
        <v>13466842.10485637</v>
      </c>
      <c r="K15" t="n">
        <v>23.2822077022558</v>
      </c>
      <c r="L15" t="n">
        <v>0.7461893042844625</v>
      </c>
      <c r="M15" t="n">
        <v>0.7561891718850474</v>
      </c>
      <c r="N15" t="n">
        <v>160.72</v>
      </c>
      <c r="O15" t="n">
        <v>84.28</v>
      </c>
      <c r="P15" t="n">
        <v>2854416.125641036</v>
      </c>
      <c r="Q15" t="n">
        <v>177964.3227856584</v>
      </c>
      <c r="R15" t="n">
        <v>22</v>
      </c>
      <c r="S15" t="n">
        <v>3754853.079591666</v>
      </c>
    </row>
    <row r="16">
      <c r="A16" t="inlineStr">
        <is>
          <t>front_ondemand</t>
        </is>
      </c>
      <c r="B16" t="inlineStr">
        <is>
          <t>base</t>
        </is>
      </c>
      <c r="C16" t="n">
        <v>42210227.18953245</v>
      </c>
      <c r="D16" t="n">
        <v>0.7404789007627706</v>
      </c>
      <c r="E16" t="n">
        <v>49041692.80190615</v>
      </c>
      <c r="F16" t="n">
        <v>37025065.7336733</v>
      </c>
      <c r="G16" t="n">
        <v>-12385496.33253091</v>
      </c>
      <c r="H16" t="n">
        <v>11446437.53364766</v>
      </c>
      <c r="I16" t="n">
        <v>13303841.65375085</v>
      </c>
      <c r="J16" t="n">
        <v>13303841.65375085</v>
      </c>
      <c r="K16" t="n">
        <v>19.8099664150795</v>
      </c>
      <c r="L16" t="n">
        <v>0.7286010119945154</v>
      </c>
      <c r="M16" t="n">
        <v>0.7549712014066979</v>
      </c>
      <c r="N16" t="n">
        <v>169.54</v>
      </c>
      <c r="O16" t="n">
        <v>88.2</v>
      </c>
      <c r="P16" t="n">
        <v>4554655.585456372</v>
      </c>
      <c r="Q16" t="n">
        <v>0</v>
      </c>
      <c r="R16" t="n">
        <v>31</v>
      </c>
      <c r="S16" t="n">
        <v>5708674.987370833</v>
      </c>
    </row>
    <row r="17">
      <c r="A17" t="inlineStr">
        <is>
          <t>front_ondemand</t>
        </is>
      </c>
      <c r="B17" t="inlineStr">
        <is>
          <t>upside</t>
        </is>
      </c>
      <c r="C17" t="n">
        <v>49826906.70635396</v>
      </c>
      <c r="D17" t="n">
        <v>1.054541886810552</v>
      </c>
      <c r="E17" t="n">
        <v>54120593.14920875</v>
      </c>
      <c r="F17" t="n">
        <v>41193796.86819174</v>
      </c>
      <c r="G17" t="n">
        <v>-9851262.777247125</v>
      </c>
      <c r="H17" t="n">
        <v>8474897.67321595</v>
      </c>
      <c r="I17" t="n">
        <v>16275381.51418256</v>
      </c>
      <c r="J17" t="n">
        <v>15380255.51813724</v>
      </c>
      <c r="K17" t="n">
        <v>19.84267319429919</v>
      </c>
      <c r="L17" t="n">
        <v>0.7294088454506785</v>
      </c>
      <c r="M17" t="n">
        <v>0.7611482888707771</v>
      </c>
      <c r="N17" t="n">
        <v>171.5</v>
      </c>
      <c r="O17" t="n">
        <v>88.2</v>
      </c>
      <c r="P17" t="n">
        <v>5083256.87151189</v>
      </c>
      <c r="Q17" t="n">
        <v>0</v>
      </c>
      <c r="R17" t="n">
        <v>33</v>
      </c>
      <c r="S17" t="n">
        <v>5864264.182370833</v>
      </c>
    </row>
    <row r="18">
      <c r="A18" t="inlineStr">
        <is>
          <t>front_ondemand</t>
        </is>
      </c>
      <c r="B18" t="inlineStr">
        <is>
          <t>downside</t>
        </is>
      </c>
      <c r="C18" t="n">
        <v>30601463.66575665</v>
      </c>
      <c r="D18" t="n">
        <v>0.2618079879919728</v>
      </c>
      <c r="E18" t="n">
        <v>40814964.76980917</v>
      </c>
      <c r="F18" t="n">
        <v>30079878.46373434</v>
      </c>
      <c r="G18" t="n">
        <v>-15127214.33638785</v>
      </c>
      <c r="H18" t="n">
        <v>14858333.40972485</v>
      </c>
      <c r="I18" t="n">
        <v>9891945.777673658</v>
      </c>
      <c r="J18" t="n">
        <v>9891945.777673658</v>
      </c>
      <c r="K18" t="n">
        <v>14.66236762848437</v>
      </c>
      <c r="L18" t="n">
        <v>0.7265200127449212</v>
      </c>
      <c r="M18" t="n">
        <v>0.7369816103818966</v>
      </c>
      <c r="N18" t="n">
        <v>167.58</v>
      </c>
      <c r="O18" t="n">
        <v>88.2</v>
      </c>
      <c r="P18" t="n">
        <v>3758442.996942709</v>
      </c>
      <c r="Q18" t="n">
        <v>0</v>
      </c>
      <c r="R18" t="n">
        <v>29</v>
      </c>
      <c r="S18" t="n">
        <v>5591751.097370833</v>
      </c>
    </row>
    <row r="19">
      <c r="A19" t="inlineStr">
        <is>
          <t>front_commit</t>
        </is>
      </c>
      <c r="B19" t="inlineStr">
        <is>
          <t>base</t>
        </is>
      </c>
      <c r="C19" t="n">
        <v>42210227.18953245</v>
      </c>
      <c r="D19" t="n">
        <v>0.7404789007627706</v>
      </c>
      <c r="E19" t="n">
        <v>49041692.80190615</v>
      </c>
      <c r="F19" t="n">
        <v>37834887.26754064</v>
      </c>
      <c r="G19" t="n">
        <v>-11575674.79866358</v>
      </c>
      <c r="H19" t="n">
        <v>10636615.99978032</v>
      </c>
      <c r="I19" t="n">
        <v>14113663.18761818</v>
      </c>
      <c r="J19" t="n">
        <v>14059151.3374336</v>
      </c>
      <c r="K19" t="n">
        <v>20.95794416691305</v>
      </c>
      <c r="L19" t="n">
        <v>0.748396017016602</v>
      </c>
      <c r="M19" t="n">
        <v>0.771484121079729</v>
      </c>
      <c r="N19" t="n">
        <v>169.54</v>
      </c>
      <c r="O19" t="n">
        <v>88.2</v>
      </c>
      <c r="P19" t="n">
        <v>3744834.051589035</v>
      </c>
      <c r="Q19" t="n">
        <v>41502.55147448253</v>
      </c>
      <c r="R19" t="n">
        <v>31</v>
      </c>
      <c r="S19" t="n">
        <v>5708674.987370833</v>
      </c>
    </row>
    <row r="20">
      <c r="A20" t="inlineStr">
        <is>
          <t>front_commit</t>
        </is>
      </c>
      <c r="B20" t="inlineStr">
        <is>
          <t>upside</t>
        </is>
      </c>
      <c r="C20" t="n">
        <v>49826906.70635396</v>
      </c>
      <c r="D20" t="n">
        <v>1.054541886810552</v>
      </c>
      <c r="E20" t="n">
        <v>54120593.14920875</v>
      </c>
      <c r="F20" t="n">
        <v>42001016.81485089</v>
      </c>
      <c r="G20" t="n">
        <v>-9044042.830587983</v>
      </c>
      <c r="H20" t="n">
        <v>7667677.726556809</v>
      </c>
      <c r="I20" t="n">
        <v>17082601.4608417</v>
      </c>
      <c r="J20" t="n">
        <v>16098983.18164204</v>
      </c>
      <c r="K20" t="n">
        <v>20.90660225079727</v>
      </c>
      <c r="L20" t="n">
        <v>0.7493188967698944</v>
      </c>
      <c r="M20" t="n">
        <v>0.7760634976607782</v>
      </c>
      <c r="N20" t="n">
        <v>171.5</v>
      </c>
      <c r="O20" t="n">
        <v>88.2</v>
      </c>
      <c r="P20" t="n">
        <v>4276036.924852751</v>
      </c>
      <c r="Q20" t="n">
        <v>26051.32474899663</v>
      </c>
      <c r="R20" t="n">
        <v>33</v>
      </c>
      <c r="S20" t="n">
        <v>5864264.182370833</v>
      </c>
    </row>
    <row r="21">
      <c r="A21" t="inlineStr">
        <is>
          <t>front_commit</t>
        </is>
      </c>
      <c r="B21" t="inlineStr">
        <is>
          <t>downside</t>
        </is>
      </c>
      <c r="C21" t="n">
        <v>30601463.66575665</v>
      </c>
      <c r="D21" t="n">
        <v>0.2618079879919728</v>
      </c>
      <c r="E21" t="n">
        <v>40814964.76980917</v>
      </c>
      <c r="F21" t="n">
        <v>30873851.31891437</v>
      </c>
      <c r="G21" t="n">
        <v>-14333241.48120783</v>
      </c>
      <c r="H21" t="n">
        <v>14064360.55454483</v>
      </c>
      <c r="I21" t="n">
        <v>10685918.63285368</v>
      </c>
      <c r="J21" t="n">
        <v>10685918.63285368</v>
      </c>
      <c r="K21" t="n">
        <v>16.89525153606453</v>
      </c>
      <c r="L21" t="n">
        <v>0.7461893042844625</v>
      </c>
      <c r="M21" t="n">
        <v>0.7564345943464285</v>
      </c>
      <c r="N21" t="n">
        <v>167.58</v>
      </c>
      <c r="O21" t="n">
        <v>88.2</v>
      </c>
      <c r="P21" t="n">
        <v>2964470.141762686</v>
      </c>
      <c r="Q21" t="n">
        <v>136357.8834481971</v>
      </c>
      <c r="R21" t="n">
        <v>29</v>
      </c>
      <c r="S21" t="n">
        <v>5591751.097370833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Actuals: P&amp;L</t>
        </is>
      </c>
    </row>
    <row r="2">
      <c r="A2" s="2" t="inlineStr">
        <is>
          <t>USD, monthly</t>
        </is>
      </c>
      <c r="B2" s="4" t="inlineStr">
        <is>
          <t>2024-09</t>
        </is>
      </c>
      <c r="C2" s="4" t="inlineStr">
        <is>
          <t>2024-10</t>
        </is>
      </c>
      <c r="D2" s="4" t="inlineStr">
        <is>
          <t>2024-11</t>
        </is>
      </c>
      <c r="E2" s="4" t="inlineStr">
        <is>
          <t>2024-12</t>
        </is>
      </c>
      <c r="F2" s="4" t="inlineStr">
        <is>
          <t>2025-01</t>
        </is>
      </c>
      <c r="G2" s="4" t="inlineStr">
        <is>
          <t>2025-02</t>
        </is>
      </c>
      <c r="H2" s="4" t="inlineStr">
        <is>
          <t>2025-03</t>
        </is>
      </c>
      <c r="I2" s="4" t="inlineStr">
        <is>
          <t>2025-04</t>
        </is>
      </c>
      <c r="J2" s="4" t="inlineStr">
        <is>
          <t>2025-05</t>
        </is>
      </c>
      <c r="K2" s="4" t="inlineStr">
        <is>
          <t>2025-06</t>
        </is>
      </c>
      <c r="L2" s="4" t="inlineStr">
        <is>
          <t>2025-07</t>
        </is>
      </c>
      <c r="M2" s="4" t="inlineStr">
        <is>
          <t>2025-08</t>
        </is>
      </c>
      <c r="N2" s="4" t="inlineStr">
        <is>
          <t>2025-09</t>
        </is>
      </c>
      <c r="O2" s="4" t="inlineStr">
        <is>
          <t>2025-10</t>
        </is>
      </c>
      <c r="P2" s="4" t="inlineStr">
        <is>
          <t>2025-11</t>
        </is>
      </c>
      <c r="Q2" s="4" t="inlineStr">
        <is>
          <t>2025-12</t>
        </is>
      </c>
      <c r="R2" s="4" t="inlineStr">
        <is>
          <t>2026-01</t>
        </is>
      </c>
      <c r="S2" s="4" t="inlineStr">
        <is>
          <t>2026-02</t>
        </is>
      </c>
      <c r="T2" s="4" t="inlineStr">
        <is>
          <t>2026-03</t>
        </is>
      </c>
      <c r="U2" s="4" t="inlineStr">
        <is>
          <t>2026-04</t>
        </is>
      </c>
      <c r="V2" s="4" t="inlineStr">
        <is>
          <t>2026-05</t>
        </is>
      </c>
      <c r="W2" s="4" t="inlineStr">
        <is>
          <t>2026-06</t>
        </is>
      </c>
      <c r="X2" s="4" t="inlineStr">
        <is>
          <t>2026-07</t>
        </is>
      </c>
      <c r="Y2" s="4" t="inlineStr">
        <is>
          <t>2026-08</t>
        </is>
      </c>
    </row>
    <row r="3">
      <c r="A3" t="inlineStr">
        <is>
          <t>Platform revenue</t>
        </is>
      </c>
      <c r="B3" s="5" t="n">
        <v>981087.5428932939</v>
      </c>
      <c r="C3" s="5" t="n">
        <v>1005101.413368833</v>
      </c>
      <c r="D3" s="5" t="n">
        <v>1028451.478252205</v>
      </c>
      <c r="E3" s="5" t="n">
        <v>1058221.580074768</v>
      </c>
      <c r="F3" s="5" t="n">
        <v>1132259.343453574</v>
      </c>
      <c r="G3" s="5" t="n">
        <v>1156928.7374667</v>
      </c>
      <c r="H3" s="5" t="n">
        <v>1188773.028479282</v>
      </c>
      <c r="I3" s="5" t="n">
        <v>1213418.333680316</v>
      </c>
      <c r="J3" s="5" t="n">
        <v>1244815.277669299</v>
      </c>
      <c r="K3" s="5" t="n">
        <v>1279344.159591947</v>
      </c>
      <c r="L3" s="5" t="n">
        <v>1311167.612264979</v>
      </c>
      <c r="M3" s="5" t="n">
        <v>1338204.826886143</v>
      </c>
      <c r="N3" s="5" t="n">
        <v>1377821.63819693</v>
      </c>
      <c r="O3" s="5" t="n">
        <v>1413919.511969282</v>
      </c>
      <c r="P3" s="5" t="n">
        <v>1454201.251428275</v>
      </c>
      <c r="Q3" s="5" t="n">
        <v>1499311.692477926</v>
      </c>
      <c r="R3" s="5" t="n">
        <v>1612141.693508823</v>
      </c>
      <c r="S3" s="5" t="n">
        <v>1642915.647582187</v>
      </c>
      <c r="T3" s="5" t="n">
        <v>1679561.753548801</v>
      </c>
      <c r="U3" s="5" t="n">
        <v>1713674.233411093</v>
      </c>
      <c r="V3" s="5" t="n">
        <v>1753549.559361321</v>
      </c>
      <c r="W3" s="5" t="n">
        <v>1790911.853454177</v>
      </c>
      <c r="X3" s="5" t="n">
        <v>1820439.912138663</v>
      </c>
      <c r="Y3" s="5" t="n">
        <v>1855089.441290867</v>
      </c>
    </row>
    <row r="4">
      <c r="A4" t="inlineStr">
        <is>
          <t>Insights revenue</t>
        </is>
      </c>
      <c r="B4" s="5" t="n">
        <v>46887.79098011633</v>
      </c>
      <c r="C4" s="5" t="n">
        <v>50241.44731240719</v>
      </c>
      <c r="D4" s="5" t="n">
        <v>53663.04545605182</v>
      </c>
      <c r="E4" s="5" t="n">
        <v>57489.50176092871</v>
      </c>
      <c r="F4" s="5" t="n">
        <v>60996.65573700856</v>
      </c>
      <c r="G4" s="5" t="n">
        <v>64792.62117320312</v>
      </c>
      <c r="H4" s="5" t="n">
        <v>69049.88159370063</v>
      </c>
      <c r="I4" s="5" t="n">
        <v>73098.06106877174</v>
      </c>
      <c r="J4" s="5" t="n">
        <v>77648.09918945962</v>
      </c>
      <c r="K4" s="5" t="n">
        <v>82525.81396547244</v>
      </c>
      <c r="L4" s="5" t="n">
        <v>87370.61677916624</v>
      </c>
      <c r="M4" s="5" t="n">
        <v>92158.86113335287</v>
      </c>
      <c r="N4" s="5" t="n">
        <v>97963.03626380062</v>
      </c>
      <c r="O4" s="5" t="n">
        <v>103731.4062344828</v>
      </c>
      <c r="P4" s="5" t="n">
        <v>109933.906746619</v>
      </c>
      <c r="Q4" s="5" t="n">
        <v>116837.6697934669</v>
      </c>
      <c r="R4" s="5" t="n">
        <v>121566.2855281258</v>
      </c>
      <c r="S4" s="5" t="n">
        <v>127024.7856315744</v>
      </c>
      <c r="T4" s="5" t="n">
        <v>133055.2782758531</v>
      </c>
      <c r="U4" s="5" t="n">
        <v>139082.295112926</v>
      </c>
      <c r="V4" s="5" t="n">
        <v>145879.9100060941</v>
      </c>
      <c r="W4" s="5" t="n">
        <v>152547.3408553929</v>
      </c>
      <c r="X4" s="5" t="n">
        <v>158978.884160994</v>
      </c>
      <c r="Y4" s="5" t="n">
        <v>165916.921336955</v>
      </c>
    </row>
    <row r="5">
      <c r="A5" t="inlineStr">
        <is>
          <t>Revenue</t>
        </is>
      </c>
      <c r="B5" s="6">
        <f>B3+B4</f>
        <v/>
      </c>
      <c r="C5" s="6">
        <f>C3+C4</f>
        <v/>
      </c>
      <c r="D5" s="6">
        <f>D3+D4</f>
        <v/>
      </c>
      <c r="E5" s="6">
        <f>E3+E4</f>
        <v/>
      </c>
      <c r="F5" s="6">
        <f>F3+F4</f>
        <v/>
      </c>
      <c r="G5" s="6">
        <f>G3+G4</f>
        <v/>
      </c>
      <c r="H5" s="6">
        <f>H3+H4</f>
        <v/>
      </c>
      <c r="I5" s="6">
        <f>I3+I4</f>
        <v/>
      </c>
      <c r="J5" s="6">
        <f>J3+J4</f>
        <v/>
      </c>
      <c r="K5" s="6">
        <f>K3+K4</f>
        <v/>
      </c>
      <c r="L5" s="6">
        <f>L3+L4</f>
        <v/>
      </c>
      <c r="M5" s="6">
        <f>M3+M4</f>
        <v/>
      </c>
      <c r="N5" s="6">
        <f>N3+N4</f>
        <v/>
      </c>
      <c r="O5" s="6">
        <f>O3+O4</f>
        <v/>
      </c>
      <c r="P5" s="6">
        <f>P3+P4</f>
        <v/>
      </c>
      <c r="Q5" s="6">
        <f>Q3+Q4</f>
        <v/>
      </c>
      <c r="R5" s="6">
        <f>R3+R4</f>
        <v/>
      </c>
      <c r="S5" s="6">
        <f>S3+S4</f>
        <v/>
      </c>
      <c r="T5" s="6">
        <f>T3+T4</f>
        <v/>
      </c>
      <c r="U5" s="6">
        <f>U3+U4</f>
        <v/>
      </c>
      <c r="V5" s="6">
        <f>V3+V4</f>
        <v/>
      </c>
      <c r="W5" s="6">
        <f>W3+W4</f>
        <v/>
      </c>
      <c r="X5" s="6">
        <f>X3+X4</f>
        <v/>
      </c>
      <c r="Y5" s="6">
        <f>Y3+Y4</f>
        <v/>
      </c>
    </row>
    <row r="6">
      <c r="A6" t="inlineStr">
        <is>
          <t>Cloud hosting</t>
        </is>
      </c>
      <c r="B6" s="5" t="n">
        <v>88894.3824330451</v>
      </c>
      <c r="C6" s="5" t="n">
        <v>93872.64232903303</v>
      </c>
      <c r="D6" s="5" t="n">
        <v>95173.66172825611</v>
      </c>
      <c r="E6" s="5" t="n">
        <v>96609.63249896282</v>
      </c>
      <c r="F6" s="5" t="n">
        <v>100661.1676202499</v>
      </c>
      <c r="G6" s="5" t="n">
        <v>102072.8581529848</v>
      </c>
      <c r="H6" s="5" t="n">
        <v>103677.0996099467</v>
      </c>
      <c r="I6" s="5" t="n">
        <v>108090.1875449925</v>
      </c>
      <c r="J6" s="5" t="n">
        <v>109691.4117453072</v>
      </c>
      <c r="K6" s="5" t="n">
        <v>111802.6744414992</v>
      </c>
      <c r="L6" s="5" t="n">
        <v>115169.3398925352</v>
      </c>
      <c r="M6" s="5" t="n">
        <v>116982.0023608466</v>
      </c>
      <c r="N6" s="5" t="n">
        <v>123894.7080432339</v>
      </c>
      <c r="O6" s="5" t="n">
        <v>125658.2348581225</v>
      </c>
      <c r="P6" s="5" t="n">
        <v>125937.7512430734</v>
      </c>
      <c r="Q6" s="5" t="n">
        <v>131699.7890867117</v>
      </c>
      <c r="R6" s="5" t="n">
        <v>139519.2834976892</v>
      </c>
      <c r="S6" s="5" t="n">
        <v>140607.9808765731</v>
      </c>
      <c r="T6" s="5" t="n">
        <v>166479.1971695539</v>
      </c>
      <c r="U6" s="5" t="n">
        <v>168149.5982327024</v>
      </c>
      <c r="V6" s="5" t="n">
        <v>175878.4642009159</v>
      </c>
      <c r="W6" s="5" t="n">
        <v>179584.5831745068</v>
      </c>
      <c r="X6" s="5" t="n">
        <v>179693.6383618956</v>
      </c>
      <c r="Y6" s="5" t="n">
        <v>188164.5046448437</v>
      </c>
    </row>
    <row r="7">
      <c r="A7" t="inlineStr">
        <is>
          <t>Third-party software and data</t>
        </is>
      </c>
      <c r="B7" s="5" t="n">
        <v>30839.2600162023</v>
      </c>
      <c r="C7" s="5" t="n">
        <v>31660.28582043721</v>
      </c>
      <c r="D7" s="5" t="n">
        <v>32463.4357112477</v>
      </c>
      <c r="E7" s="5" t="n">
        <v>33471.33245507089</v>
      </c>
      <c r="F7" s="5" t="n">
        <v>35797.67997571747</v>
      </c>
      <c r="G7" s="5" t="n">
        <v>36651.6407591971</v>
      </c>
      <c r="H7" s="5" t="n">
        <v>37734.68730218949</v>
      </c>
      <c r="I7" s="5" t="n">
        <v>38595.49184247263</v>
      </c>
      <c r="J7" s="5" t="n">
        <v>39673.90130576275</v>
      </c>
      <c r="K7" s="5" t="n">
        <v>40856.09920672259</v>
      </c>
      <c r="L7" s="5" t="n">
        <v>41956.14687132437</v>
      </c>
      <c r="M7" s="5" t="n">
        <v>42910.91064058488</v>
      </c>
      <c r="N7" s="5" t="n">
        <v>44273.54023382191</v>
      </c>
      <c r="O7" s="5" t="n">
        <v>45529.52754611294</v>
      </c>
      <c r="P7" s="5" t="n">
        <v>46924.05474524682</v>
      </c>
      <c r="Q7" s="5" t="n">
        <v>48484.48086814179</v>
      </c>
      <c r="R7" s="5" t="n">
        <v>52011.23937110845</v>
      </c>
      <c r="S7" s="5" t="n">
        <v>53098.21299641283</v>
      </c>
      <c r="T7" s="5" t="n">
        <v>54378.51095473961</v>
      </c>
      <c r="U7" s="5" t="n">
        <v>55582.69585572058</v>
      </c>
      <c r="V7" s="5" t="n">
        <v>56982.88408102244</v>
      </c>
      <c r="W7" s="5" t="n">
        <v>58303.77582928708</v>
      </c>
      <c r="X7" s="5" t="n">
        <v>59382.56388898972</v>
      </c>
      <c r="Y7" s="5" t="n">
        <v>60630.19087883466</v>
      </c>
    </row>
    <row r="8">
      <c r="A8" t="inlineStr">
        <is>
          <t>Payment processing</t>
        </is>
      </c>
      <c r="B8" s="5" t="n">
        <v>15419.63000810115</v>
      </c>
      <c r="C8" s="5" t="n">
        <v>15830.14291021861</v>
      </c>
      <c r="D8" s="5" t="n">
        <v>16231.71785562385</v>
      </c>
      <c r="E8" s="5" t="n">
        <v>16735.66622753545</v>
      </c>
      <c r="F8" s="5" t="n">
        <v>17898.83998785873</v>
      </c>
      <c r="G8" s="5" t="n">
        <v>18325.82037959855</v>
      </c>
      <c r="H8" s="5" t="n">
        <v>18867.34365109475</v>
      </c>
      <c r="I8" s="5" t="n">
        <v>19297.74592123631</v>
      </c>
      <c r="J8" s="5" t="n">
        <v>19836.95065288138</v>
      </c>
      <c r="K8" s="5" t="n">
        <v>20428.04960336129</v>
      </c>
      <c r="L8" s="5" t="n">
        <v>20978.07343566218</v>
      </c>
      <c r="M8" s="5" t="n">
        <v>21455.45532029244</v>
      </c>
      <c r="N8" s="5" t="n">
        <v>22136.77011691095</v>
      </c>
      <c r="O8" s="5" t="n">
        <v>22764.76377305647</v>
      </c>
      <c r="P8" s="5" t="n">
        <v>23462.02737262342</v>
      </c>
      <c r="Q8" s="5" t="n">
        <v>24242.2404340709</v>
      </c>
      <c r="R8" s="5" t="n">
        <v>26005.61968555423</v>
      </c>
      <c r="S8" s="5" t="n">
        <v>26549.10649820641</v>
      </c>
      <c r="T8" s="5" t="n">
        <v>27189.25547736981</v>
      </c>
      <c r="U8" s="5" t="n">
        <v>27791.34792786029</v>
      </c>
      <c r="V8" s="5" t="n">
        <v>28491.44204051122</v>
      </c>
      <c r="W8" s="5" t="n">
        <v>29151.88791464354</v>
      </c>
      <c r="X8" s="5" t="n">
        <v>29691.28194449486</v>
      </c>
      <c r="Y8" s="5" t="n">
        <v>30315.09543941734</v>
      </c>
    </row>
    <row r="9">
      <c r="A9" t="inlineStr">
        <is>
          <t>Customer operations payroll</t>
        </is>
      </c>
      <c r="B9" s="5" t="n">
        <v>222370.5647091886</v>
      </c>
      <c r="C9" s="5" t="n">
        <v>222370.5647091886</v>
      </c>
      <c r="D9" s="5" t="n">
        <v>222370.5647091886</v>
      </c>
      <c r="E9" s="5" t="n">
        <v>222370.5647091886</v>
      </c>
      <c r="F9" s="5" t="n">
        <v>240095.7111514838</v>
      </c>
      <c r="G9" s="5" t="n">
        <v>240095.7111514838</v>
      </c>
      <c r="H9" s="5" t="n">
        <v>240095.7111514838</v>
      </c>
      <c r="I9" s="5" t="n">
        <v>246775.5374419683</v>
      </c>
      <c r="J9" s="5" t="n">
        <v>246775.5374419683</v>
      </c>
      <c r="K9" s="5" t="n">
        <v>248489.1777039956</v>
      </c>
      <c r="L9" s="5" t="n">
        <v>237684.5425317532</v>
      </c>
      <c r="M9" s="5" t="n">
        <v>244781.4145501729</v>
      </c>
      <c r="N9" s="5" t="n">
        <v>244781.4145501729</v>
      </c>
      <c r="O9" s="5" t="n">
        <v>252735.9017081154</v>
      </c>
      <c r="P9" s="5" t="n">
        <v>265489.5004631123</v>
      </c>
      <c r="Q9" s="5" t="n">
        <v>265489.5004631123</v>
      </c>
      <c r="R9" s="5" t="n">
        <v>274781.6329793212</v>
      </c>
      <c r="S9" s="5" t="n">
        <v>274781.6329793212</v>
      </c>
      <c r="T9" s="5" t="n">
        <v>283037.147141989</v>
      </c>
      <c r="U9" s="5" t="n">
        <v>283037.147141989</v>
      </c>
      <c r="V9" s="5" t="n">
        <v>283037.147141989</v>
      </c>
      <c r="W9" s="5" t="n">
        <v>282552.5315503199</v>
      </c>
      <c r="X9" s="5" t="n">
        <v>282552.5315503199</v>
      </c>
      <c r="Y9" s="5" t="n">
        <v>282552.5315503199</v>
      </c>
    </row>
    <row r="10">
      <c r="A10" t="inlineStr">
        <is>
          <t>Customer operations recruiting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13642.26103022761</v>
      </c>
      <c r="G10" s="5" t="n">
        <v>0</v>
      </c>
      <c r="H10" s="5" t="n">
        <v>0</v>
      </c>
      <c r="I10" s="5" t="n">
        <v>9551.705849119897</v>
      </c>
      <c r="J10" s="5" t="n">
        <v>0</v>
      </c>
      <c r="K10" s="5" t="n">
        <v>13381.93865259553</v>
      </c>
      <c r="L10" s="5" t="n">
        <v>0</v>
      </c>
      <c r="M10" s="5" t="n">
        <v>10148.05341051432</v>
      </c>
      <c r="N10" s="5" t="n">
        <v>0</v>
      </c>
      <c r="O10" s="5" t="n">
        <v>11374.38583118561</v>
      </c>
      <c r="P10" s="5" t="n">
        <v>18236.79516920434</v>
      </c>
      <c r="Q10" s="5" t="n">
        <v>0</v>
      </c>
      <c r="R10" s="5" t="n">
        <v>0</v>
      </c>
      <c r="S10" s="5" t="n">
        <v>0</v>
      </c>
      <c r="T10" s="5" t="n">
        <v>26770.02964036756</v>
      </c>
      <c r="U10" s="5" t="n">
        <v>0</v>
      </c>
      <c r="V10" s="5" t="n">
        <v>0</v>
      </c>
      <c r="W10" s="5" t="n">
        <v>13524.44257759514</v>
      </c>
      <c r="X10" s="5" t="n">
        <v>0</v>
      </c>
      <c r="Y10" s="5" t="n">
        <v>0</v>
      </c>
    </row>
    <row r="11">
      <c r="A11" t="inlineStr">
        <is>
          <t>Cost of revenue</t>
        </is>
      </c>
      <c r="B11" s="6">
        <f>B6+B7+B8+B9+B10</f>
        <v/>
      </c>
      <c r="C11" s="6">
        <f>C6+C7+C8+C9+C10</f>
        <v/>
      </c>
      <c r="D11" s="6">
        <f>D6+D7+D8+D9+D10</f>
        <v/>
      </c>
      <c r="E11" s="6">
        <f>E6+E7+E8+E9+E10</f>
        <v/>
      </c>
      <c r="F11" s="6">
        <f>F6+F7+F8+F9+F10</f>
        <v/>
      </c>
      <c r="G11" s="6">
        <f>G6+G7+G8+G9+G10</f>
        <v/>
      </c>
      <c r="H11" s="6">
        <f>H6+H7+H8+H9+H10</f>
        <v/>
      </c>
      <c r="I11" s="6">
        <f>I6+I7+I8+I9+I10</f>
        <v/>
      </c>
      <c r="J11" s="6">
        <f>J6+J7+J8+J9+J10</f>
        <v/>
      </c>
      <c r="K11" s="6">
        <f>K6+K7+K8+K9+K10</f>
        <v/>
      </c>
      <c r="L11" s="6">
        <f>L6+L7+L8+L9+L10</f>
        <v/>
      </c>
      <c r="M11" s="6">
        <f>M6+M7+M8+M9+M10</f>
        <v/>
      </c>
      <c r="N11" s="6">
        <f>N6+N7+N8+N9+N10</f>
        <v/>
      </c>
      <c r="O11" s="6">
        <f>O6+O7+O8+O9+O10</f>
        <v/>
      </c>
      <c r="P11" s="6">
        <f>P6+P7+P8+P9+P10</f>
        <v/>
      </c>
      <c r="Q11" s="6">
        <f>Q6+Q7+Q8+Q9+Q10</f>
        <v/>
      </c>
      <c r="R11" s="6">
        <f>R6+R7+R8+R9+R10</f>
        <v/>
      </c>
      <c r="S11" s="6">
        <f>S6+S7+S8+S9+S10</f>
        <v/>
      </c>
      <c r="T11" s="6">
        <f>T6+T7+T8+T9+T10</f>
        <v/>
      </c>
      <c r="U11" s="6">
        <f>U6+U7+U8+U9+U10</f>
        <v/>
      </c>
      <c r="V11" s="6">
        <f>V6+V7+V8+V9+V10</f>
        <v/>
      </c>
      <c r="W11" s="6">
        <f>W6+W7+W8+W9+W10</f>
        <v/>
      </c>
      <c r="X11" s="6">
        <f>X6+X7+X8+X9+X10</f>
        <v/>
      </c>
      <c r="Y11" s="6">
        <f>Y6+Y7+Y8+Y9+Y10</f>
        <v/>
      </c>
    </row>
    <row r="12">
      <c r="A12" t="inlineStr">
        <is>
          <t>Gross profit</t>
        </is>
      </c>
      <c r="B12" s="6">
        <f>B5-B11</f>
        <v/>
      </c>
      <c r="C12" s="6">
        <f>C5-C11</f>
        <v/>
      </c>
      <c r="D12" s="6">
        <f>D5-D11</f>
        <v/>
      </c>
      <c r="E12" s="6">
        <f>E5-E11</f>
        <v/>
      </c>
      <c r="F12" s="6">
        <f>F5-F11</f>
        <v/>
      </c>
      <c r="G12" s="6">
        <f>G5-G11</f>
        <v/>
      </c>
      <c r="H12" s="6">
        <f>H5-H11</f>
        <v/>
      </c>
      <c r="I12" s="6">
        <f>I5-I11</f>
        <v/>
      </c>
      <c r="J12" s="6">
        <f>J5-J11</f>
        <v/>
      </c>
      <c r="K12" s="6">
        <f>K5-K11</f>
        <v/>
      </c>
      <c r="L12" s="6">
        <f>L5-L11</f>
        <v/>
      </c>
      <c r="M12" s="6">
        <f>M5-M11</f>
        <v/>
      </c>
      <c r="N12" s="6">
        <f>N5-N11</f>
        <v/>
      </c>
      <c r="O12" s="6">
        <f>O5-O11</f>
        <v/>
      </c>
      <c r="P12" s="6">
        <f>P5-P11</f>
        <v/>
      </c>
      <c r="Q12" s="6">
        <f>Q5-Q11</f>
        <v/>
      </c>
      <c r="R12" s="6">
        <f>R5-R11</f>
        <v/>
      </c>
      <c r="S12" s="6">
        <f>S5-S11</f>
        <v/>
      </c>
      <c r="T12" s="6">
        <f>T5-T11</f>
        <v/>
      </c>
      <c r="U12" s="6">
        <f>U5-U11</f>
        <v/>
      </c>
      <c r="V12" s="6">
        <f>V5-V11</f>
        <v/>
      </c>
      <c r="W12" s="6">
        <f>W5-W11</f>
        <v/>
      </c>
      <c r="X12" s="6">
        <f>X5-X11</f>
        <v/>
      </c>
      <c r="Y12" s="6">
        <f>Y5-Y11</f>
        <v/>
      </c>
    </row>
    <row r="13">
      <c r="A13" t="inlineStr">
        <is>
          <t>Gross margin</t>
        </is>
      </c>
      <c r="B13" s="7">
        <f>IF(B5=0,0,B12/B5)</f>
        <v/>
      </c>
      <c r="C13" s="7">
        <f>IF(C5=0,0,C12/C5)</f>
        <v/>
      </c>
      <c r="D13" s="7">
        <f>IF(D5=0,0,D12/D5)</f>
        <v/>
      </c>
      <c r="E13" s="7">
        <f>IF(E5=0,0,E12/E5)</f>
        <v/>
      </c>
      <c r="F13" s="7">
        <f>IF(F5=0,0,F12/F5)</f>
        <v/>
      </c>
      <c r="G13" s="7">
        <f>IF(G5=0,0,G12/G5)</f>
        <v/>
      </c>
      <c r="H13" s="7">
        <f>IF(H5=0,0,H12/H5)</f>
        <v/>
      </c>
      <c r="I13" s="7">
        <f>IF(I5=0,0,I12/I5)</f>
        <v/>
      </c>
      <c r="J13" s="7">
        <f>IF(J5=0,0,J12/J5)</f>
        <v/>
      </c>
      <c r="K13" s="7">
        <f>IF(K5=0,0,K12/K5)</f>
        <v/>
      </c>
      <c r="L13" s="7">
        <f>IF(L5=0,0,L12/L5)</f>
        <v/>
      </c>
      <c r="M13" s="7">
        <f>IF(M5=0,0,M12/M5)</f>
        <v/>
      </c>
      <c r="N13" s="7">
        <f>IF(N5=0,0,N12/N5)</f>
        <v/>
      </c>
      <c r="O13" s="7">
        <f>IF(O5=0,0,O12/O5)</f>
        <v/>
      </c>
      <c r="P13" s="7">
        <f>IF(P5=0,0,P12/P5)</f>
        <v/>
      </c>
      <c r="Q13" s="7">
        <f>IF(Q5=0,0,Q12/Q5)</f>
        <v/>
      </c>
      <c r="R13" s="7">
        <f>IF(R5=0,0,R12/R5)</f>
        <v/>
      </c>
      <c r="S13" s="7">
        <f>IF(S5=0,0,S12/S5)</f>
        <v/>
      </c>
      <c r="T13" s="7">
        <f>IF(T5=0,0,T12/T5)</f>
        <v/>
      </c>
      <c r="U13" s="7">
        <f>IF(U5=0,0,U12/U5)</f>
        <v/>
      </c>
      <c r="V13" s="7">
        <f>IF(V5=0,0,V12/V5)</f>
        <v/>
      </c>
      <c r="W13" s="7">
        <f>IF(W5=0,0,W12/W5)</f>
        <v/>
      </c>
      <c r="X13" s="7">
        <f>IF(X5=0,0,X12/X5)</f>
        <v/>
      </c>
      <c r="Y13" s="7">
        <f>IF(Y5=0,0,Y12/Y5)</f>
        <v/>
      </c>
    </row>
    <row r="14">
      <c r="A14" t="inlineStr">
        <is>
          <t>R&amp;D payroll</t>
        </is>
      </c>
      <c r="B14" s="5" t="n">
        <v>673876.110757462</v>
      </c>
      <c r="C14" s="5" t="n">
        <v>683643.1928971951</v>
      </c>
      <c r="D14" s="5" t="n">
        <v>676675.9232982338</v>
      </c>
      <c r="E14" s="5" t="n">
        <v>676675.9232982338</v>
      </c>
      <c r="F14" s="5" t="n">
        <v>706370.8734958812</v>
      </c>
      <c r="G14" s="5" t="n">
        <v>720011.3275527853</v>
      </c>
      <c r="H14" s="5" t="n">
        <v>754184.7048309138</v>
      </c>
      <c r="I14" s="5" t="n">
        <v>756900.6336109276</v>
      </c>
      <c r="J14" s="5" t="n">
        <v>774196.6113013192</v>
      </c>
      <c r="K14" s="5" t="n">
        <v>774196.6113013192</v>
      </c>
      <c r="L14" s="5" t="n">
        <v>787402.7695552148</v>
      </c>
      <c r="M14" s="5" t="n">
        <v>800933.61525567</v>
      </c>
      <c r="N14" s="5" t="n">
        <v>833018.6210889175</v>
      </c>
      <c r="O14" s="5" t="n">
        <v>833018.6210889175</v>
      </c>
      <c r="P14" s="5" t="n">
        <v>827647.358002971</v>
      </c>
      <c r="Q14" s="5" t="n">
        <v>827647.358002971</v>
      </c>
      <c r="R14" s="5" t="n">
        <v>856615.015533075</v>
      </c>
      <c r="S14" s="5" t="n">
        <v>856615.015533075</v>
      </c>
      <c r="T14" s="5" t="n">
        <v>862049.0651846653</v>
      </c>
      <c r="U14" s="5" t="n">
        <v>885296.3117078551</v>
      </c>
      <c r="V14" s="5" t="n">
        <v>910300.9758007616</v>
      </c>
      <c r="W14" s="5" t="n">
        <v>890741.5808156335</v>
      </c>
      <c r="X14" s="5" t="n">
        <v>925826.9615281529</v>
      </c>
      <c r="Y14" s="5" t="n">
        <v>935879.881019042</v>
      </c>
    </row>
    <row r="15">
      <c r="A15" t="inlineStr">
        <is>
          <t>R&amp;D recruiting</t>
        </is>
      </c>
      <c r="B15" s="5" t="n">
        <v>0</v>
      </c>
      <c r="C15" s="5" t="n">
        <v>13966.27570028578</v>
      </c>
      <c r="D15" s="5" t="n">
        <v>12351.81764661885</v>
      </c>
      <c r="E15" s="5" t="n">
        <v>0</v>
      </c>
      <c r="F15" s="5" t="n">
        <v>29113.7570864852</v>
      </c>
      <c r="G15" s="5" t="n">
        <v>15504.43123416728</v>
      </c>
      <c r="H15" s="5" t="n">
        <v>42618.52192670892</v>
      </c>
      <c r="I15" s="5" t="n">
        <v>18602.98374363732</v>
      </c>
      <c r="J15" s="5" t="n">
        <v>43278.38881717972</v>
      </c>
      <c r="K15" s="5" t="n">
        <v>0</v>
      </c>
      <c r="L15" s="5" t="n">
        <v>18883.92505323491</v>
      </c>
      <c r="M15" s="5" t="n">
        <v>19348.20643535067</v>
      </c>
      <c r="N15" s="5" t="n">
        <v>39686.42233443492</v>
      </c>
      <c r="O15" s="5" t="n">
        <v>0</v>
      </c>
      <c r="P15" s="5" t="n">
        <v>13927.86561261979</v>
      </c>
      <c r="Q15" s="5" t="n">
        <v>0</v>
      </c>
      <c r="R15" s="5" t="n">
        <v>0</v>
      </c>
      <c r="S15" s="5" t="n">
        <v>0</v>
      </c>
      <c r="T15" s="5" t="n">
        <v>28759.31463264472</v>
      </c>
      <c r="U15" s="5" t="n">
        <v>42383.07262813943</v>
      </c>
      <c r="V15" s="5" t="n">
        <v>43841.11526349993</v>
      </c>
      <c r="W15" s="5" t="n">
        <v>14438.19211442822</v>
      </c>
      <c r="X15" s="5" t="n">
        <v>43898.19506940724</v>
      </c>
      <c r="Y15" s="5" t="n">
        <v>14375.00403844958</v>
      </c>
    </row>
    <row r="16">
      <c r="A16" t="inlineStr">
        <is>
          <t>R&amp;D tooling</t>
        </is>
      </c>
      <c r="B16" s="5" t="n">
        <v>22950</v>
      </c>
      <c r="C16" s="5" t="n">
        <v>23400</v>
      </c>
      <c r="D16" s="5" t="n">
        <v>23400</v>
      </c>
      <c r="E16" s="5" t="n">
        <v>23400</v>
      </c>
      <c r="F16" s="5" t="n">
        <v>23850</v>
      </c>
      <c r="G16" s="5" t="n">
        <v>24300</v>
      </c>
      <c r="H16" s="5" t="n">
        <v>25650</v>
      </c>
      <c r="I16" s="5" t="n">
        <v>25650</v>
      </c>
      <c r="J16" s="5" t="n">
        <v>26550</v>
      </c>
      <c r="K16" s="5" t="n">
        <v>26550</v>
      </c>
      <c r="L16" s="5" t="n">
        <v>27000</v>
      </c>
      <c r="M16" s="5" t="n">
        <v>27450</v>
      </c>
      <c r="N16" s="5" t="n">
        <v>28800</v>
      </c>
      <c r="O16" s="5" t="n">
        <v>28800</v>
      </c>
      <c r="P16" s="5" t="n">
        <v>28800</v>
      </c>
      <c r="Q16" s="5" t="n">
        <v>28800</v>
      </c>
      <c r="R16" s="5" t="n">
        <v>28800</v>
      </c>
      <c r="S16" s="5" t="n">
        <v>28800</v>
      </c>
      <c r="T16" s="5" t="n">
        <v>29250</v>
      </c>
      <c r="U16" s="5" t="n">
        <v>30150</v>
      </c>
      <c r="V16" s="5" t="n">
        <v>31050</v>
      </c>
      <c r="W16" s="5" t="n">
        <v>30600</v>
      </c>
      <c r="X16" s="5" t="n">
        <v>31950</v>
      </c>
      <c r="Y16" s="5" t="n">
        <v>32400</v>
      </c>
    </row>
    <row r="17">
      <c r="A17" t="inlineStr">
        <is>
          <t>R&amp;D contractors</t>
        </is>
      </c>
      <c r="B17" s="5" t="n">
        <v>55000</v>
      </c>
      <c r="C17" s="5" t="n">
        <v>55000</v>
      </c>
      <c r="D17" s="5" t="n">
        <v>55000</v>
      </c>
      <c r="E17" s="5" t="n">
        <v>55000</v>
      </c>
      <c r="F17" s="5" t="n">
        <v>55000</v>
      </c>
      <c r="G17" s="5" t="n">
        <v>55000</v>
      </c>
      <c r="H17" s="5" t="n">
        <v>55000</v>
      </c>
      <c r="I17" s="5" t="n">
        <v>55000</v>
      </c>
      <c r="J17" s="5" t="n">
        <v>55000</v>
      </c>
      <c r="K17" s="5" t="n">
        <v>55000</v>
      </c>
      <c r="L17" s="5" t="n">
        <v>55000</v>
      </c>
      <c r="M17" s="5" t="n">
        <v>55000</v>
      </c>
      <c r="N17" s="5" t="n">
        <v>55000</v>
      </c>
      <c r="O17" s="5" t="n">
        <v>55000</v>
      </c>
      <c r="P17" s="5" t="n">
        <v>55000</v>
      </c>
      <c r="Q17" s="5" t="n">
        <v>55000</v>
      </c>
      <c r="R17" s="5" t="n">
        <v>60000</v>
      </c>
      <c r="S17" s="5" t="n">
        <v>60000</v>
      </c>
      <c r="T17" s="5" t="n">
        <v>60000</v>
      </c>
      <c r="U17" s="5" t="n">
        <v>60000</v>
      </c>
      <c r="V17" s="5" t="n">
        <v>60000</v>
      </c>
      <c r="W17" s="5" t="n">
        <v>60000</v>
      </c>
      <c r="X17" s="5" t="n">
        <v>60000</v>
      </c>
      <c r="Y17" s="5" t="n">
        <v>60000</v>
      </c>
    </row>
    <row r="18">
      <c r="A18" t="inlineStr">
        <is>
          <t>R&amp;D total</t>
        </is>
      </c>
      <c r="B18" s="6">
        <f>B14+B15+B16+B17</f>
        <v/>
      </c>
      <c r="C18" s="6">
        <f>C14+C15+C16+C17</f>
        <v/>
      </c>
      <c r="D18" s="6">
        <f>D14+D15+D16+D17</f>
        <v/>
      </c>
      <c r="E18" s="6">
        <f>E14+E15+E16+E17</f>
        <v/>
      </c>
      <c r="F18" s="6">
        <f>F14+F15+F16+F17</f>
        <v/>
      </c>
      <c r="G18" s="6">
        <f>G14+G15+G16+G17</f>
        <v/>
      </c>
      <c r="H18" s="6">
        <f>H14+H15+H16+H17</f>
        <v/>
      </c>
      <c r="I18" s="6">
        <f>I14+I15+I16+I17</f>
        <v/>
      </c>
      <c r="J18" s="6">
        <f>J14+J15+J16+J17</f>
        <v/>
      </c>
      <c r="K18" s="6">
        <f>K14+K15+K16+K17</f>
        <v/>
      </c>
      <c r="L18" s="6">
        <f>L14+L15+L16+L17</f>
        <v/>
      </c>
      <c r="M18" s="6">
        <f>M14+M15+M16+M17</f>
        <v/>
      </c>
      <c r="N18" s="6">
        <f>N14+N15+N16+N17</f>
        <v/>
      </c>
      <c r="O18" s="6">
        <f>O14+O15+O16+O17</f>
        <v/>
      </c>
      <c r="P18" s="6">
        <f>P14+P15+P16+P17</f>
        <v/>
      </c>
      <c r="Q18" s="6">
        <f>Q14+Q15+Q16+Q17</f>
        <v/>
      </c>
      <c r="R18" s="6">
        <f>R14+R15+R16+R17</f>
        <v/>
      </c>
      <c r="S18" s="6">
        <f>S14+S15+S16+S17</f>
        <v/>
      </c>
      <c r="T18" s="6">
        <f>T14+T15+T16+T17</f>
        <v/>
      </c>
      <c r="U18" s="6">
        <f>U14+U15+U16+U17</f>
        <v/>
      </c>
      <c r="V18" s="6">
        <f>V14+V15+V16+V17</f>
        <v/>
      </c>
      <c r="W18" s="6">
        <f>W14+W15+W16+W17</f>
        <v/>
      </c>
      <c r="X18" s="6">
        <f>X14+X15+X16+X17</f>
        <v/>
      </c>
      <c r="Y18" s="6">
        <f>Y14+Y15+Y16+Y17</f>
        <v/>
      </c>
    </row>
    <row r="19">
      <c r="A19" t="inlineStr">
        <is>
          <t>Sales and marketing payroll</t>
        </is>
      </c>
      <c r="B19" s="5" t="n">
        <v>206685.8483047161</v>
      </c>
      <c r="C19" s="5" t="n">
        <v>206685.8483047161</v>
      </c>
      <c r="D19" s="5" t="n">
        <v>218341.6816158267</v>
      </c>
      <c r="E19" s="5" t="n">
        <v>218341.6816158267</v>
      </c>
      <c r="F19" s="5" t="n">
        <v>232797.6950812878</v>
      </c>
      <c r="G19" s="5" t="n">
        <v>244451.5922720754</v>
      </c>
      <c r="H19" s="5" t="n">
        <v>244451.5922720754</v>
      </c>
      <c r="I19" s="5" t="n">
        <v>255750.6132604274</v>
      </c>
      <c r="J19" s="5" t="n">
        <v>247571.3895456434</v>
      </c>
      <c r="K19" s="5" t="n">
        <v>253299.0800084641</v>
      </c>
      <c r="L19" s="5" t="n">
        <v>288526.1192914081</v>
      </c>
      <c r="M19" s="5" t="n">
        <v>281712.064682501</v>
      </c>
      <c r="N19" s="5" t="n">
        <v>288550.2289847666</v>
      </c>
      <c r="O19" s="5" t="n">
        <v>306993.1777367331</v>
      </c>
      <c r="P19" s="5" t="n">
        <v>306993.1777367331</v>
      </c>
      <c r="Q19" s="5" t="n">
        <v>306993.1777367331</v>
      </c>
      <c r="R19" s="5" t="n">
        <v>327723.1452083517</v>
      </c>
      <c r="S19" s="5" t="n">
        <v>334190.5815590189</v>
      </c>
      <c r="T19" s="5" t="n">
        <v>306855.2714552783</v>
      </c>
      <c r="U19" s="5" t="n">
        <v>306855.2714552783</v>
      </c>
      <c r="V19" s="5" t="n">
        <v>320140.5315402737</v>
      </c>
      <c r="W19" s="5" t="n">
        <v>320140.5315402737</v>
      </c>
      <c r="X19" s="5" t="n">
        <v>320140.5315402737</v>
      </c>
      <c r="Y19" s="5" t="n">
        <v>320140.5315402737</v>
      </c>
    </row>
    <row r="20">
      <c r="A20" t="inlineStr">
        <is>
          <t>Sales and marketing recruiting</t>
        </is>
      </c>
      <c r="B20" s="5" t="n">
        <v>0</v>
      </c>
      <c r="C20" s="5" t="n">
        <v>0</v>
      </c>
      <c r="D20" s="5" t="n">
        <v>17126.93874285653</v>
      </c>
      <c r="E20" s="5" t="n">
        <v>0</v>
      </c>
      <c r="F20" s="5" t="n">
        <v>10012.48840492474</v>
      </c>
      <c r="G20" s="5" t="n">
        <v>17124.09383136138</v>
      </c>
      <c r="H20" s="5" t="n">
        <v>0</v>
      </c>
      <c r="I20" s="5" t="n">
        <v>16602.6430849254</v>
      </c>
      <c r="J20" s="5" t="n">
        <v>0</v>
      </c>
      <c r="K20" s="5" t="n">
        <v>18243.61993051647</v>
      </c>
      <c r="L20" s="5" t="n">
        <v>51762.18017085645</v>
      </c>
      <c r="M20" s="5" t="n">
        <v>0</v>
      </c>
      <c r="N20" s="5" t="n">
        <v>10047.914893125</v>
      </c>
      <c r="O20" s="5" t="n">
        <v>27099.84306411393</v>
      </c>
      <c r="P20" s="5" t="n">
        <v>0</v>
      </c>
      <c r="Q20" s="5" t="n">
        <v>0</v>
      </c>
      <c r="R20" s="5" t="n">
        <v>34134.99910260535</v>
      </c>
      <c r="S20" s="5" t="n">
        <v>9503.171780572158</v>
      </c>
      <c r="T20" s="5" t="n">
        <v>0</v>
      </c>
      <c r="U20" s="5" t="n">
        <v>0</v>
      </c>
      <c r="V20" s="5" t="n">
        <v>18229.50766350956</v>
      </c>
      <c r="W20" s="5" t="n">
        <v>0</v>
      </c>
      <c r="X20" s="5" t="n">
        <v>0</v>
      </c>
      <c r="Y20" s="5" t="n">
        <v>0</v>
      </c>
    </row>
    <row r="21">
      <c r="A21" t="inlineStr">
        <is>
          <t>Sales commission</t>
        </is>
      </c>
      <c r="B21" s="5" t="n">
        <v>38017.94806699658</v>
      </c>
      <c r="C21" s="5" t="n">
        <v>38371.49334554817</v>
      </c>
      <c r="D21" s="5" t="n">
        <v>38874.27168726947</v>
      </c>
      <c r="E21" s="5" t="n">
        <v>46694.13381584664</v>
      </c>
      <c r="F21" s="5" t="n">
        <v>36787.44984372411</v>
      </c>
      <c r="G21" s="5" t="n">
        <v>41221.06010769408</v>
      </c>
      <c r="H21" s="5" t="n">
        <v>49900.67293451241</v>
      </c>
      <c r="I21" s="5" t="n">
        <v>41803.74477194192</v>
      </c>
      <c r="J21" s="5" t="n">
        <v>49890.48003399256</v>
      </c>
      <c r="K21" s="5" t="n">
        <v>54306.45492028916</v>
      </c>
      <c r="L21" s="5" t="n">
        <v>51512.00372638216</v>
      </c>
      <c r="M21" s="5" t="n">
        <v>46229.70211295562</v>
      </c>
      <c r="N21" s="5" t="n">
        <v>61485.31839583629</v>
      </c>
      <c r="O21" s="5" t="n">
        <v>58014.99001317424</v>
      </c>
      <c r="P21" s="5" t="n">
        <v>63340.6610478231</v>
      </c>
      <c r="Q21" s="5" t="n">
        <v>69546.98333330595</v>
      </c>
      <c r="R21" s="5" t="n">
        <v>48737.0613314367</v>
      </c>
      <c r="S21" s="5" t="n">
        <v>58264.46000265706</v>
      </c>
      <c r="T21" s="5" t="n">
        <v>67352.5683998013</v>
      </c>
      <c r="U21" s="5" t="n">
        <v>63305.94136827222</v>
      </c>
      <c r="V21" s="5" t="n">
        <v>70130.11453701578</v>
      </c>
      <c r="W21" s="5" t="n">
        <v>68101.65497535258</v>
      </c>
      <c r="X21" s="5" t="n">
        <v>56649.12857019864</v>
      </c>
      <c r="Y21" s="5" t="n">
        <v>62767.85181049626</v>
      </c>
    </row>
    <row r="22">
      <c r="A22" t="inlineStr">
        <is>
          <t>Marketing programmes</t>
        </is>
      </c>
      <c r="B22" s="5" t="n">
        <v>224000</v>
      </c>
      <c r="C22" s="5" t="n">
        <v>224000</v>
      </c>
      <c r="D22" s="5" t="n">
        <v>224000</v>
      </c>
      <c r="E22" s="5" t="n">
        <v>280000</v>
      </c>
      <c r="F22" s="5" t="n">
        <v>196000</v>
      </c>
      <c r="G22" s="5" t="n">
        <v>224000</v>
      </c>
      <c r="H22" s="5" t="n">
        <v>280000</v>
      </c>
      <c r="I22" s="5" t="n">
        <v>224000</v>
      </c>
      <c r="J22" s="5" t="n">
        <v>280000</v>
      </c>
      <c r="K22" s="5" t="n">
        <v>308000</v>
      </c>
      <c r="L22" s="5" t="n">
        <v>280000</v>
      </c>
      <c r="M22" s="5" t="n">
        <v>252000</v>
      </c>
      <c r="N22" s="5" t="n">
        <v>364000</v>
      </c>
      <c r="O22" s="5" t="n">
        <v>336000</v>
      </c>
      <c r="P22" s="5" t="n">
        <v>364000</v>
      </c>
      <c r="Q22" s="5" t="n">
        <v>420000</v>
      </c>
      <c r="R22" s="5" t="n">
        <v>276300</v>
      </c>
      <c r="S22" s="5" t="n">
        <v>337700</v>
      </c>
      <c r="T22" s="5" t="n">
        <v>399100</v>
      </c>
      <c r="U22" s="5" t="n">
        <v>368400</v>
      </c>
      <c r="V22" s="5" t="n">
        <v>549800</v>
      </c>
      <c r="W22" s="5" t="n">
        <v>399100</v>
      </c>
      <c r="X22" s="5" t="n">
        <v>337700</v>
      </c>
      <c r="Y22" s="5" t="n">
        <v>368400</v>
      </c>
    </row>
    <row r="23">
      <c r="A23" t="inlineStr">
        <is>
          <t>Sales and marketing total</t>
        </is>
      </c>
      <c r="B23" s="6">
        <f>B19+B20+B21+B22</f>
        <v/>
      </c>
      <c r="C23" s="6">
        <f>C19+C20+C21+C22</f>
        <v/>
      </c>
      <c r="D23" s="6">
        <f>D19+D20+D21+D22</f>
        <v/>
      </c>
      <c r="E23" s="6">
        <f>E19+E20+E21+E22</f>
        <v/>
      </c>
      <c r="F23" s="6">
        <f>F19+F20+F21+F22</f>
        <v/>
      </c>
      <c r="G23" s="6">
        <f>G19+G20+G21+G22</f>
        <v/>
      </c>
      <c r="H23" s="6">
        <f>H19+H20+H21+H22</f>
        <v/>
      </c>
      <c r="I23" s="6">
        <f>I19+I20+I21+I22</f>
        <v/>
      </c>
      <c r="J23" s="6">
        <f>J19+J20+J21+J22</f>
        <v/>
      </c>
      <c r="K23" s="6">
        <f>K19+K20+K21+K22</f>
        <v/>
      </c>
      <c r="L23" s="6">
        <f>L19+L20+L21+L22</f>
        <v/>
      </c>
      <c r="M23" s="6">
        <f>M19+M20+M21+M22</f>
        <v/>
      </c>
      <c r="N23" s="6">
        <f>N19+N20+N21+N22</f>
        <v/>
      </c>
      <c r="O23" s="6">
        <f>O19+O20+O21+O22</f>
        <v/>
      </c>
      <c r="P23" s="6">
        <f>P19+P20+P21+P22</f>
        <v/>
      </c>
      <c r="Q23" s="6">
        <f>Q19+Q20+Q21+Q22</f>
        <v/>
      </c>
      <c r="R23" s="6">
        <f>R19+R20+R21+R22</f>
        <v/>
      </c>
      <c r="S23" s="6">
        <f>S19+S20+S21+S22</f>
        <v/>
      </c>
      <c r="T23" s="6">
        <f>T19+T20+T21+T22</f>
        <v/>
      </c>
      <c r="U23" s="6">
        <f>U19+U20+U21+U22</f>
        <v/>
      </c>
      <c r="V23" s="6">
        <f>V19+V20+V21+V22</f>
        <v/>
      </c>
      <c r="W23" s="6">
        <f>W19+W20+W21+W22</f>
        <v/>
      </c>
      <c r="X23" s="6">
        <f>X19+X20+X21+X22</f>
        <v/>
      </c>
      <c r="Y23" s="6">
        <f>Y19+Y20+Y21+Y22</f>
        <v/>
      </c>
    </row>
    <row r="24">
      <c r="A24" t="inlineStr">
        <is>
          <t>G&amp;A payroll</t>
        </is>
      </c>
      <c r="B24" s="5" t="n">
        <v>221317.181763001</v>
      </c>
      <c r="C24" s="5" t="n">
        <v>221317.181763001</v>
      </c>
      <c r="D24" s="5" t="n">
        <v>221317.181763001</v>
      </c>
      <c r="E24" s="5" t="n">
        <v>221317.181763001</v>
      </c>
      <c r="F24" s="5" t="n">
        <v>229063.283124706</v>
      </c>
      <c r="G24" s="5" t="n">
        <v>229063.283124706</v>
      </c>
      <c r="H24" s="5" t="n">
        <v>229063.283124706</v>
      </c>
      <c r="I24" s="5" t="n">
        <v>229063.283124706</v>
      </c>
      <c r="J24" s="5" t="n">
        <v>218412.6005791649</v>
      </c>
      <c r="K24" s="5" t="n">
        <v>218412.6005791649</v>
      </c>
      <c r="L24" s="5" t="n">
        <v>218412.6005791649</v>
      </c>
      <c r="M24" s="5" t="n">
        <v>218412.6005791649</v>
      </c>
      <c r="N24" s="5" t="n">
        <v>218412.6005791649</v>
      </c>
      <c r="O24" s="5" t="n">
        <v>228002.6887475724</v>
      </c>
      <c r="P24" s="5" t="n">
        <v>228002.6887475724</v>
      </c>
      <c r="Q24" s="5" t="n">
        <v>236914.4876291843</v>
      </c>
      <c r="R24" s="5" t="n">
        <v>245206.4946962058</v>
      </c>
      <c r="S24" s="5" t="n">
        <v>245206.4946962058</v>
      </c>
      <c r="T24" s="5" t="n">
        <v>254910.4927356387</v>
      </c>
      <c r="U24" s="5" t="n">
        <v>254910.4927356387</v>
      </c>
      <c r="V24" s="5" t="n">
        <v>254910.4927356387</v>
      </c>
      <c r="W24" s="5" t="n">
        <v>244028.0393916516</v>
      </c>
      <c r="X24" s="5" t="n">
        <v>244028.0393916516</v>
      </c>
      <c r="Y24" s="5" t="n">
        <v>252881.2899517278</v>
      </c>
    </row>
    <row r="25">
      <c r="A25" t="inlineStr">
        <is>
          <t>G&amp;A recruiting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13713.1861321366</v>
      </c>
      <c r="P25" s="5" t="n">
        <v>0</v>
      </c>
      <c r="Q25" s="5" t="n">
        <v>12743.27771441168</v>
      </c>
      <c r="R25" s="5" t="n">
        <v>0</v>
      </c>
      <c r="S25" s="5" t="n">
        <v>0</v>
      </c>
      <c r="T25" s="5" t="n">
        <v>13876.06964647219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12659.55752155795</v>
      </c>
    </row>
    <row r="26">
      <c r="A26" t="inlineStr">
        <is>
          <t>Rent</t>
        </is>
      </c>
      <c r="B26" s="5" t="n">
        <v>50600</v>
      </c>
      <c r="C26" s="5" t="n">
        <v>51050</v>
      </c>
      <c r="D26" s="5" t="n">
        <v>51700</v>
      </c>
      <c r="E26" s="5" t="n">
        <v>51700</v>
      </c>
      <c r="F26" s="5" t="n">
        <v>53150</v>
      </c>
      <c r="G26" s="5" t="n">
        <v>54250</v>
      </c>
      <c r="H26" s="5" t="n">
        <v>55900</v>
      </c>
      <c r="I26" s="5" t="n">
        <v>56850</v>
      </c>
      <c r="J26" s="5" t="n">
        <v>56950</v>
      </c>
      <c r="K26" s="5" t="n">
        <v>57000</v>
      </c>
      <c r="L26" s="5" t="n">
        <v>58950</v>
      </c>
      <c r="M26" s="5" t="n">
        <v>59350</v>
      </c>
      <c r="N26" s="5" t="n">
        <v>61500</v>
      </c>
      <c r="O26" s="5" t="n">
        <v>63400</v>
      </c>
      <c r="P26" s="5" t="n">
        <v>63850</v>
      </c>
      <c r="Q26" s="5" t="n">
        <v>64300</v>
      </c>
      <c r="R26" s="5" t="n">
        <v>64800</v>
      </c>
      <c r="S26" s="5" t="n">
        <v>65300</v>
      </c>
      <c r="T26" s="5" t="n">
        <v>65550</v>
      </c>
      <c r="U26" s="5" t="n">
        <v>66750</v>
      </c>
      <c r="V26" s="5" t="n">
        <v>68300</v>
      </c>
      <c r="W26" s="5" t="n">
        <v>67450</v>
      </c>
      <c r="X26" s="5" t="n">
        <v>69100</v>
      </c>
      <c r="Y26" s="5" t="n">
        <v>70000</v>
      </c>
    </row>
    <row r="27">
      <c r="A27" t="inlineStr">
        <is>
          <t>Software seats</t>
        </is>
      </c>
      <c r="B27" s="5" t="n">
        <v>18720</v>
      </c>
      <c r="C27" s="5" t="n">
        <v>18900</v>
      </c>
      <c r="D27" s="5" t="n">
        <v>19080</v>
      </c>
      <c r="E27" s="5" t="n">
        <v>19080</v>
      </c>
      <c r="F27" s="5" t="n">
        <v>19620</v>
      </c>
      <c r="G27" s="5" t="n">
        <v>19980</v>
      </c>
      <c r="H27" s="5" t="n">
        <v>20520</v>
      </c>
      <c r="I27" s="5" t="n">
        <v>20880</v>
      </c>
      <c r="J27" s="5" t="n">
        <v>20880</v>
      </c>
      <c r="K27" s="5" t="n">
        <v>20880</v>
      </c>
      <c r="L27" s="5" t="n">
        <v>21600</v>
      </c>
      <c r="M27" s="5" t="n">
        <v>21780</v>
      </c>
      <c r="N27" s="5" t="n">
        <v>22500</v>
      </c>
      <c r="O27" s="5" t="n">
        <v>23220</v>
      </c>
      <c r="P27" s="5" t="n">
        <v>23400</v>
      </c>
      <c r="Q27" s="5" t="n">
        <v>23580</v>
      </c>
      <c r="R27" s="5" t="n">
        <v>23760</v>
      </c>
      <c r="S27" s="5" t="n">
        <v>23940</v>
      </c>
      <c r="T27" s="5" t="n">
        <v>24120</v>
      </c>
      <c r="U27" s="5" t="n">
        <v>24480</v>
      </c>
      <c r="V27" s="5" t="n">
        <v>25020</v>
      </c>
      <c r="W27" s="5" t="n">
        <v>24660</v>
      </c>
      <c r="X27" s="5" t="n">
        <v>25200</v>
      </c>
      <c r="Y27" s="5" t="n">
        <v>25560</v>
      </c>
    </row>
    <row r="28">
      <c r="A28" t="inlineStr">
        <is>
          <t>Fixed G&amp;A</t>
        </is>
      </c>
      <c r="B28" s="5" t="n">
        <v>72000</v>
      </c>
      <c r="C28" s="5" t="n">
        <v>72000</v>
      </c>
      <c r="D28" s="5" t="n">
        <v>72000</v>
      </c>
      <c r="E28" s="5" t="n">
        <v>72000</v>
      </c>
      <c r="F28" s="5" t="n">
        <v>72000</v>
      </c>
      <c r="G28" s="5" t="n">
        <v>72000</v>
      </c>
      <c r="H28" s="5" t="n">
        <v>72000</v>
      </c>
      <c r="I28" s="5" t="n">
        <v>72000</v>
      </c>
      <c r="J28" s="5" t="n">
        <v>72000</v>
      </c>
      <c r="K28" s="5" t="n">
        <v>72000</v>
      </c>
      <c r="L28" s="5" t="n">
        <v>72000</v>
      </c>
      <c r="M28" s="5" t="n">
        <v>72000</v>
      </c>
      <c r="N28" s="5" t="n">
        <v>72000</v>
      </c>
      <c r="O28" s="5" t="n">
        <v>72000</v>
      </c>
      <c r="P28" s="5" t="n">
        <v>72000</v>
      </c>
      <c r="Q28" s="5" t="n">
        <v>72000</v>
      </c>
      <c r="R28" s="5" t="n">
        <v>75000</v>
      </c>
      <c r="S28" s="5" t="n">
        <v>75000</v>
      </c>
      <c r="T28" s="5" t="n">
        <v>75000</v>
      </c>
      <c r="U28" s="5" t="n">
        <v>75000</v>
      </c>
      <c r="V28" s="5" t="n">
        <v>75000</v>
      </c>
      <c r="W28" s="5" t="n">
        <v>75000</v>
      </c>
      <c r="X28" s="5" t="n">
        <v>75000</v>
      </c>
      <c r="Y28" s="5" t="n">
        <v>75000</v>
      </c>
    </row>
    <row r="29">
      <c r="A29" t="inlineStr">
        <is>
          <t>G&amp;A total</t>
        </is>
      </c>
      <c r="B29" s="6">
        <f>B24+B25+B26+B27+B28</f>
        <v/>
      </c>
      <c r="C29" s="6">
        <f>C24+C25+C26+C27+C28</f>
        <v/>
      </c>
      <c r="D29" s="6">
        <f>D24+D25+D26+D27+D28</f>
        <v/>
      </c>
      <c r="E29" s="6">
        <f>E24+E25+E26+E27+E28</f>
        <v/>
      </c>
      <c r="F29" s="6">
        <f>F24+F25+F26+F27+F28</f>
        <v/>
      </c>
      <c r="G29" s="6">
        <f>G24+G25+G26+G27+G28</f>
        <v/>
      </c>
      <c r="H29" s="6">
        <f>H24+H25+H26+H27+H28</f>
        <v/>
      </c>
      <c r="I29" s="6">
        <f>I24+I25+I26+I27+I28</f>
        <v/>
      </c>
      <c r="J29" s="6">
        <f>J24+J25+J26+J27+J28</f>
        <v/>
      </c>
      <c r="K29" s="6">
        <f>K24+K25+K26+K27+K28</f>
        <v/>
      </c>
      <c r="L29" s="6">
        <f>L24+L25+L26+L27+L28</f>
        <v/>
      </c>
      <c r="M29" s="6">
        <f>M24+M25+M26+M27+M28</f>
        <v/>
      </c>
      <c r="N29" s="6">
        <f>N24+N25+N26+N27+N28</f>
        <v/>
      </c>
      <c r="O29" s="6">
        <f>O24+O25+O26+O27+O28</f>
        <v/>
      </c>
      <c r="P29" s="6">
        <f>P24+P25+P26+P27+P28</f>
        <v/>
      </c>
      <c r="Q29" s="6">
        <f>Q24+Q25+Q26+Q27+Q28</f>
        <v/>
      </c>
      <c r="R29" s="6">
        <f>R24+R25+R26+R27+R28</f>
        <v/>
      </c>
      <c r="S29" s="6">
        <f>S24+S25+S26+S27+S28</f>
        <v/>
      </c>
      <c r="T29" s="6">
        <f>T24+T25+T26+T27+T28</f>
        <v/>
      </c>
      <c r="U29" s="6">
        <f>U24+U25+U26+U27+U28</f>
        <v/>
      </c>
      <c r="V29" s="6">
        <f>V24+V25+V26+V27+V28</f>
        <v/>
      </c>
      <c r="W29" s="6">
        <f>W24+W25+W26+W27+W28</f>
        <v/>
      </c>
      <c r="X29" s="6">
        <f>X24+X25+X26+X27+X28</f>
        <v/>
      </c>
      <c r="Y29" s="6">
        <f>Y24+Y25+Y26+Y27+Y28</f>
        <v/>
      </c>
    </row>
    <row r="30">
      <c r="A30" t="inlineStr">
        <is>
          <t>Operating expenses</t>
        </is>
      </c>
      <c r="B30" s="6">
        <f>B18+B23+B29</f>
        <v/>
      </c>
      <c r="C30" s="6">
        <f>C18+C23+C29</f>
        <v/>
      </c>
      <c r="D30" s="6">
        <f>D18+D23+D29</f>
        <v/>
      </c>
      <c r="E30" s="6">
        <f>E18+E23+E29</f>
        <v/>
      </c>
      <c r="F30" s="6">
        <f>F18+F23+F29</f>
        <v/>
      </c>
      <c r="G30" s="6">
        <f>G18+G23+G29</f>
        <v/>
      </c>
      <c r="H30" s="6">
        <f>H18+H23+H29</f>
        <v/>
      </c>
      <c r="I30" s="6">
        <f>I18+I23+I29</f>
        <v/>
      </c>
      <c r="J30" s="6">
        <f>J18+J23+J29</f>
        <v/>
      </c>
      <c r="K30" s="6">
        <f>K18+K23+K29</f>
        <v/>
      </c>
      <c r="L30" s="6">
        <f>L18+L23+L29</f>
        <v/>
      </c>
      <c r="M30" s="6">
        <f>M18+M23+M29</f>
        <v/>
      </c>
      <c r="N30" s="6">
        <f>N18+N23+N29</f>
        <v/>
      </c>
      <c r="O30" s="6">
        <f>O18+O23+O29</f>
        <v/>
      </c>
      <c r="P30" s="6">
        <f>P18+P23+P29</f>
        <v/>
      </c>
      <c r="Q30" s="6">
        <f>Q18+Q23+Q29</f>
        <v/>
      </c>
      <c r="R30" s="6">
        <f>R18+R23+R29</f>
        <v/>
      </c>
      <c r="S30" s="6">
        <f>S18+S23+S29</f>
        <v/>
      </c>
      <c r="T30" s="6">
        <f>T18+T23+T29</f>
        <v/>
      </c>
      <c r="U30" s="6">
        <f>U18+U23+U29</f>
        <v/>
      </c>
      <c r="V30" s="6">
        <f>V18+V23+V29</f>
        <v/>
      </c>
      <c r="W30" s="6">
        <f>W18+W23+W29</f>
        <v/>
      </c>
      <c r="X30" s="6">
        <f>X18+X23+X29</f>
        <v/>
      </c>
      <c r="Y30" s="6">
        <f>Y18+Y23+Y29</f>
        <v/>
      </c>
    </row>
    <row r="31">
      <c r="A31" t="inlineStr">
        <is>
          <t>EBITDA</t>
        </is>
      </c>
      <c r="B31" s="6">
        <f>B12-B30</f>
        <v/>
      </c>
      <c r="C31" s="6">
        <f>C12-C30</f>
        <v/>
      </c>
      <c r="D31" s="6">
        <f>D12-D30</f>
        <v/>
      </c>
      <c r="E31" s="6">
        <f>E12-E30</f>
        <v/>
      </c>
      <c r="F31" s="6">
        <f>F12-F30</f>
        <v/>
      </c>
      <c r="G31" s="6">
        <f>G12-G30</f>
        <v/>
      </c>
      <c r="H31" s="6">
        <f>H12-H30</f>
        <v/>
      </c>
      <c r="I31" s="6">
        <f>I12-I30</f>
        <v/>
      </c>
      <c r="J31" s="6">
        <f>J12-J30</f>
        <v/>
      </c>
      <c r="K31" s="6">
        <f>K12-K30</f>
        <v/>
      </c>
      <c r="L31" s="6">
        <f>L12-L30</f>
        <v/>
      </c>
      <c r="M31" s="6">
        <f>M12-M30</f>
        <v/>
      </c>
      <c r="N31" s="6">
        <f>N12-N30</f>
        <v/>
      </c>
      <c r="O31" s="6">
        <f>O12-O30</f>
        <v/>
      </c>
      <c r="P31" s="6">
        <f>P12-P30</f>
        <v/>
      </c>
      <c r="Q31" s="6">
        <f>Q12-Q30</f>
        <v/>
      </c>
      <c r="R31" s="6">
        <f>R12-R30</f>
        <v/>
      </c>
      <c r="S31" s="6">
        <f>S12-S30</f>
        <v/>
      </c>
      <c r="T31" s="6">
        <f>T12-T30</f>
        <v/>
      </c>
      <c r="U31" s="6">
        <f>U12-U30</f>
        <v/>
      </c>
      <c r="V31" s="6">
        <f>V12-V30</f>
        <v/>
      </c>
      <c r="W31" s="6">
        <f>W12-W30</f>
        <v/>
      </c>
      <c r="X31" s="6">
        <f>X12-X30</f>
        <v/>
      </c>
      <c r="Y31" s="6">
        <f>Y12-Y30</f>
        <v/>
      </c>
    </row>
    <row r="32">
      <c r="A32" t="inlineStr">
        <is>
          <t>EBITDA margin</t>
        </is>
      </c>
      <c r="B32" s="7">
        <f>IF(B5=0,0,B31/B5)</f>
        <v/>
      </c>
      <c r="C32" s="7">
        <f>IF(C5=0,0,C31/C5)</f>
        <v/>
      </c>
      <c r="D32" s="7">
        <f>IF(D5=0,0,D31/D5)</f>
        <v/>
      </c>
      <c r="E32" s="7">
        <f>IF(E5=0,0,E31/E5)</f>
        <v/>
      </c>
      <c r="F32" s="7">
        <f>IF(F5=0,0,F31/F5)</f>
        <v/>
      </c>
      <c r="G32" s="7">
        <f>IF(G5=0,0,G31/G5)</f>
        <v/>
      </c>
      <c r="H32" s="7">
        <f>IF(H5=0,0,H31/H5)</f>
        <v/>
      </c>
      <c r="I32" s="7">
        <f>IF(I5=0,0,I31/I5)</f>
        <v/>
      </c>
      <c r="J32" s="7">
        <f>IF(J5=0,0,J31/J5)</f>
        <v/>
      </c>
      <c r="K32" s="7">
        <f>IF(K5=0,0,K31/K5)</f>
        <v/>
      </c>
      <c r="L32" s="7">
        <f>IF(L5=0,0,L31/L5)</f>
        <v/>
      </c>
      <c r="M32" s="7">
        <f>IF(M5=0,0,M31/M5)</f>
        <v/>
      </c>
      <c r="N32" s="7">
        <f>IF(N5=0,0,N31/N5)</f>
        <v/>
      </c>
      <c r="O32" s="7">
        <f>IF(O5=0,0,O31/O5)</f>
        <v/>
      </c>
      <c r="P32" s="7">
        <f>IF(P5=0,0,P31/P5)</f>
        <v/>
      </c>
      <c r="Q32" s="7">
        <f>IF(Q5=0,0,Q31/Q5)</f>
        <v/>
      </c>
      <c r="R32" s="7">
        <f>IF(R5=0,0,R31/R5)</f>
        <v/>
      </c>
      <c r="S32" s="7">
        <f>IF(S5=0,0,S31/S5)</f>
        <v/>
      </c>
      <c r="T32" s="7">
        <f>IF(T5=0,0,T31/T5)</f>
        <v/>
      </c>
      <c r="U32" s="7">
        <f>IF(U5=0,0,U31/U5)</f>
        <v/>
      </c>
      <c r="V32" s="7">
        <f>IF(V5=0,0,V31/V5)</f>
        <v/>
      </c>
      <c r="W32" s="7">
        <f>IF(W5=0,0,W31/W5)</f>
        <v/>
      </c>
      <c r="X32" s="7">
        <f>IF(X5=0,0,X31/X5)</f>
        <v/>
      </c>
      <c r="Y32" s="7">
        <f>IF(Y5=0,0,Y31/Y5)</f>
        <v/>
      </c>
    </row>
    <row r="33">
      <c r="A33" t="inlineStr">
        <is>
          <t>FTE total</t>
        </is>
      </c>
      <c r="B33" s="8" t="n">
        <v>104</v>
      </c>
      <c r="C33" s="8" t="n">
        <v>105</v>
      </c>
      <c r="D33" s="8" t="n">
        <v>106</v>
      </c>
      <c r="E33" s="8" t="n">
        <v>106</v>
      </c>
      <c r="F33" s="8" t="n">
        <v>109</v>
      </c>
      <c r="G33" s="8" t="n">
        <v>111</v>
      </c>
      <c r="H33" s="8" t="n">
        <v>114</v>
      </c>
      <c r="I33" s="8" t="n">
        <v>116</v>
      </c>
      <c r="J33" s="8" t="n">
        <v>116</v>
      </c>
      <c r="K33" s="8" t="n">
        <v>116</v>
      </c>
      <c r="L33" s="8" t="n">
        <v>120</v>
      </c>
      <c r="M33" s="8" t="n">
        <v>121</v>
      </c>
      <c r="N33" s="8" t="n">
        <v>125</v>
      </c>
      <c r="O33" s="8" t="n">
        <v>129</v>
      </c>
      <c r="P33" s="8" t="n">
        <v>130</v>
      </c>
      <c r="Q33" s="8" t="n">
        <v>131</v>
      </c>
      <c r="R33" s="8" t="n">
        <v>132</v>
      </c>
      <c r="S33" s="8" t="n">
        <v>133</v>
      </c>
      <c r="T33" s="8" t="n">
        <v>134</v>
      </c>
      <c r="U33" s="8" t="n">
        <v>136</v>
      </c>
      <c r="V33" s="8" t="n">
        <v>139</v>
      </c>
      <c r="W33" s="8" t="n">
        <v>137</v>
      </c>
      <c r="X33" s="8" t="n">
        <v>140</v>
      </c>
      <c r="Y33" s="8" t="n">
        <v>142</v>
      </c>
    </row>
    <row r="34">
      <c r="A34" t="inlineStr">
        <is>
          <t>FTE customer operations</t>
        </is>
      </c>
      <c r="B34" s="8" t="n">
        <v>22</v>
      </c>
      <c r="C34" s="8" t="n">
        <v>22</v>
      </c>
      <c r="D34" s="8" t="n">
        <v>22</v>
      </c>
      <c r="E34" s="8" t="n">
        <v>22</v>
      </c>
      <c r="F34" s="8" t="n">
        <v>23</v>
      </c>
      <c r="G34" s="8" t="n">
        <v>23</v>
      </c>
      <c r="H34" s="8" t="n">
        <v>23</v>
      </c>
      <c r="I34" s="8" t="n">
        <v>24</v>
      </c>
      <c r="J34" s="8" t="n">
        <v>24</v>
      </c>
      <c r="K34" s="8" t="n">
        <v>24</v>
      </c>
      <c r="L34" s="8" t="n">
        <v>23</v>
      </c>
      <c r="M34" s="8" t="n">
        <v>24</v>
      </c>
      <c r="N34" s="8" t="n">
        <v>24</v>
      </c>
      <c r="O34" s="8" t="n">
        <v>25</v>
      </c>
      <c r="P34" s="8" t="n">
        <v>26</v>
      </c>
      <c r="Q34" s="8" t="n">
        <v>26</v>
      </c>
      <c r="R34" s="8" t="n">
        <v>26</v>
      </c>
      <c r="S34" s="8" t="n">
        <v>26</v>
      </c>
      <c r="T34" s="8" t="n">
        <v>27</v>
      </c>
      <c r="U34" s="8" t="n">
        <v>27</v>
      </c>
      <c r="V34" s="8" t="n">
        <v>27</v>
      </c>
      <c r="W34" s="8" t="n">
        <v>27</v>
      </c>
      <c r="X34" s="8" t="n">
        <v>27</v>
      </c>
      <c r="Y34" s="8" t="n">
        <v>27</v>
      </c>
    </row>
    <row r="35">
      <c r="A35" t="inlineStr">
        <is>
          <t>FTE R&amp;D</t>
        </is>
      </c>
      <c r="B35" s="8" t="n">
        <v>51</v>
      </c>
      <c r="C35" s="8" t="n">
        <v>52</v>
      </c>
      <c r="D35" s="8" t="n">
        <v>52</v>
      </c>
      <c r="E35" s="8" t="n">
        <v>52</v>
      </c>
      <c r="F35" s="8" t="n">
        <v>53</v>
      </c>
      <c r="G35" s="8" t="n">
        <v>54</v>
      </c>
      <c r="H35" s="8" t="n">
        <v>57</v>
      </c>
      <c r="I35" s="8" t="n">
        <v>57</v>
      </c>
      <c r="J35" s="8" t="n">
        <v>59</v>
      </c>
      <c r="K35" s="8" t="n">
        <v>59</v>
      </c>
      <c r="L35" s="8" t="n">
        <v>60</v>
      </c>
      <c r="M35" s="8" t="n">
        <v>61</v>
      </c>
      <c r="N35" s="8" t="n">
        <v>64</v>
      </c>
      <c r="O35" s="8" t="n">
        <v>64</v>
      </c>
      <c r="P35" s="8" t="n">
        <v>64</v>
      </c>
      <c r="Q35" s="8" t="n">
        <v>64</v>
      </c>
      <c r="R35" s="8" t="n">
        <v>64</v>
      </c>
      <c r="S35" s="8" t="n">
        <v>64</v>
      </c>
      <c r="T35" s="8" t="n">
        <v>65</v>
      </c>
      <c r="U35" s="8" t="n">
        <v>67</v>
      </c>
      <c r="V35" s="8" t="n">
        <v>69</v>
      </c>
      <c r="W35" s="8" t="n">
        <v>68</v>
      </c>
      <c r="X35" s="8" t="n">
        <v>71</v>
      </c>
      <c r="Y35" s="8" t="n">
        <v>72</v>
      </c>
    </row>
    <row r="36">
      <c r="A36" t="inlineStr">
        <is>
          <t>FTE sales and marketing</t>
        </is>
      </c>
      <c r="B36" s="8" t="n">
        <v>18</v>
      </c>
      <c r="C36" s="8" t="n">
        <v>18</v>
      </c>
      <c r="D36" s="8" t="n">
        <v>19</v>
      </c>
      <c r="E36" s="8" t="n">
        <v>19</v>
      </c>
      <c r="F36" s="8" t="n">
        <v>20</v>
      </c>
      <c r="G36" s="8" t="n">
        <v>21</v>
      </c>
      <c r="H36" s="8" t="n">
        <v>21</v>
      </c>
      <c r="I36" s="8" t="n">
        <v>22</v>
      </c>
      <c r="J36" s="8" t="n">
        <v>21</v>
      </c>
      <c r="K36" s="8" t="n">
        <v>21</v>
      </c>
      <c r="L36" s="8" t="n">
        <v>25</v>
      </c>
      <c r="M36" s="8" t="n">
        <v>24</v>
      </c>
      <c r="N36" s="8" t="n">
        <v>25</v>
      </c>
      <c r="O36" s="8" t="n">
        <v>27</v>
      </c>
      <c r="P36" s="8" t="n">
        <v>27</v>
      </c>
      <c r="Q36" s="8" t="n">
        <v>27</v>
      </c>
      <c r="R36" s="8" t="n">
        <v>28</v>
      </c>
      <c r="S36" s="8" t="n">
        <v>29</v>
      </c>
      <c r="T36" s="8" t="n">
        <v>27</v>
      </c>
      <c r="U36" s="8" t="n">
        <v>27</v>
      </c>
      <c r="V36" s="8" t="n">
        <v>28</v>
      </c>
      <c r="W36" s="8" t="n">
        <v>28</v>
      </c>
      <c r="X36" s="8" t="n">
        <v>28</v>
      </c>
      <c r="Y36" s="8" t="n">
        <v>28</v>
      </c>
    </row>
    <row r="37">
      <c r="A37" t="inlineStr">
        <is>
          <t>FTE G&amp;A</t>
        </is>
      </c>
      <c r="B37" s="8" t="n">
        <v>13</v>
      </c>
      <c r="C37" s="8" t="n">
        <v>13</v>
      </c>
      <c r="D37" s="8" t="n">
        <v>13</v>
      </c>
      <c r="E37" s="8" t="n">
        <v>13</v>
      </c>
      <c r="F37" s="8" t="n">
        <v>13</v>
      </c>
      <c r="G37" s="8" t="n">
        <v>13</v>
      </c>
      <c r="H37" s="8" t="n">
        <v>13</v>
      </c>
      <c r="I37" s="8" t="n">
        <v>13</v>
      </c>
      <c r="J37" s="8" t="n">
        <v>12</v>
      </c>
      <c r="K37" s="8" t="n">
        <v>12</v>
      </c>
      <c r="L37" s="8" t="n">
        <v>12</v>
      </c>
      <c r="M37" s="8" t="n">
        <v>12</v>
      </c>
      <c r="N37" s="8" t="n">
        <v>12</v>
      </c>
      <c r="O37" s="8" t="n">
        <v>13</v>
      </c>
      <c r="P37" s="8" t="n">
        <v>13</v>
      </c>
      <c r="Q37" s="8" t="n">
        <v>14</v>
      </c>
      <c r="R37" s="8" t="n">
        <v>14</v>
      </c>
      <c r="S37" s="8" t="n">
        <v>14</v>
      </c>
      <c r="T37" s="8" t="n">
        <v>15</v>
      </c>
      <c r="U37" s="8" t="n">
        <v>15</v>
      </c>
      <c r="V37" s="8" t="n">
        <v>15</v>
      </c>
      <c r="W37" s="8" t="n">
        <v>14</v>
      </c>
      <c r="X37" s="8" t="n">
        <v>14</v>
      </c>
      <c r="Y37" s="8" t="n">
        <v>15</v>
      </c>
    </row>
    <row r="38">
      <c r="A38" t="inlineStr">
        <is>
          <t>Total ARR (closing)</t>
        </is>
      </c>
      <c r="B38" s="5" t="n">
        <v>12335704.00648092</v>
      </c>
      <c r="C38" s="5" t="n">
        <v>12664114.32817489</v>
      </c>
      <c r="D38" s="5" t="n">
        <v>12985374.28449908</v>
      </c>
      <c r="E38" s="5" t="n">
        <v>13388532.98202836</v>
      </c>
      <c r="F38" s="5" t="n">
        <v>14319071.99028699</v>
      </c>
      <c r="G38" s="5" t="n">
        <v>14660656.30367884</v>
      </c>
      <c r="H38" s="5" t="n">
        <v>15093874.9208758</v>
      </c>
      <c r="I38" s="5" t="n">
        <v>15438196.73698905</v>
      </c>
      <c r="J38" s="5" t="n">
        <v>15869560.5223051</v>
      </c>
      <c r="K38" s="5" t="n">
        <v>16342439.68268904</v>
      </c>
      <c r="L38" s="5" t="n">
        <v>16782458.74852975</v>
      </c>
      <c r="M38" s="5" t="n">
        <v>17164364.25623396</v>
      </c>
      <c r="N38" s="5" t="n">
        <v>17709416.09352876</v>
      </c>
      <c r="O38" s="5" t="n">
        <v>18211811.01844518</v>
      </c>
      <c r="P38" s="5" t="n">
        <v>18769621.89809873</v>
      </c>
      <c r="Q38" s="5" t="n">
        <v>19393792.34725672</v>
      </c>
      <c r="R38" s="5" t="n">
        <v>20804495.74844338</v>
      </c>
      <c r="S38" s="5" t="n">
        <v>21239285.19856513</v>
      </c>
      <c r="T38" s="5" t="n">
        <v>21751404.38189584</v>
      </c>
      <c r="U38" s="5" t="n">
        <v>22233078.34228823</v>
      </c>
      <c r="V38" s="5" t="n">
        <v>22793153.63240898</v>
      </c>
      <c r="W38" s="5" t="n">
        <v>23321510.33171484</v>
      </c>
      <c r="X38" s="5" t="n">
        <v>23753025.55559589</v>
      </c>
      <c r="Y38" s="5" t="n">
        <v>24252076.35153387</v>
      </c>
    </row>
    <row r="39">
      <c r="A39" s="2" t="inlineStr">
        <is>
          <t>Shaded yellow: values from the model. Shaded blue: Excel formulas.</t>
        </is>
      </c>
    </row>
    <row r="41">
      <c r="A41" s="1" t="inlineStr">
        <is>
          <t>Actuals: ARR roll-forward</t>
        </is>
      </c>
    </row>
    <row r="42">
      <c r="A42" s="2" t="inlineStr">
        <is>
          <t>USD, monthly</t>
        </is>
      </c>
      <c r="B42" s="4" t="inlineStr">
        <is>
          <t>2024-09</t>
        </is>
      </c>
      <c r="C42" s="4" t="inlineStr">
        <is>
          <t>2024-10</t>
        </is>
      </c>
      <c r="D42" s="4" t="inlineStr">
        <is>
          <t>2024-11</t>
        </is>
      </c>
      <c r="E42" s="4" t="inlineStr">
        <is>
          <t>2024-12</t>
        </is>
      </c>
      <c r="F42" s="4" t="inlineStr">
        <is>
          <t>2025-01</t>
        </is>
      </c>
      <c r="G42" s="4" t="inlineStr">
        <is>
          <t>2025-02</t>
        </is>
      </c>
      <c r="H42" s="4" t="inlineStr">
        <is>
          <t>2025-03</t>
        </is>
      </c>
      <c r="I42" s="4" t="inlineStr">
        <is>
          <t>2025-04</t>
        </is>
      </c>
      <c r="J42" s="4" t="inlineStr">
        <is>
          <t>2025-05</t>
        </is>
      </c>
      <c r="K42" s="4" t="inlineStr">
        <is>
          <t>2025-06</t>
        </is>
      </c>
      <c r="L42" s="4" t="inlineStr">
        <is>
          <t>2025-07</t>
        </is>
      </c>
      <c r="M42" s="4" t="inlineStr">
        <is>
          <t>2025-08</t>
        </is>
      </c>
      <c r="N42" s="4" t="inlineStr">
        <is>
          <t>2025-09</t>
        </is>
      </c>
      <c r="O42" s="4" t="inlineStr">
        <is>
          <t>2025-10</t>
        </is>
      </c>
      <c r="P42" s="4" t="inlineStr">
        <is>
          <t>2025-11</t>
        </is>
      </c>
      <c r="Q42" s="4" t="inlineStr">
        <is>
          <t>2025-12</t>
        </is>
      </c>
      <c r="R42" s="4" t="inlineStr">
        <is>
          <t>2026-01</t>
        </is>
      </c>
      <c r="S42" s="4" t="inlineStr">
        <is>
          <t>2026-02</t>
        </is>
      </c>
      <c r="T42" s="4" t="inlineStr">
        <is>
          <t>2026-03</t>
        </is>
      </c>
      <c r="U42" s="4" t="inlineStr">
        <is>
          <t>2026-04</t>
        </is>
      </c>
      <c r="V42" s="4" t="inlineStr">
        <is>
          <t>2026-05</t>
        </is>
      </c>
      <c r="W42" s="4" t="inlineStr">
        <is>
          <t>2026-06</t>
        </is>
      </c>
      <c r="X42" s="4" t="inlineStr">
        <is>
          <t>2026-07</t>
        </is>
      </c>
      <c r="Y42" s="4" t="inlineStr">
        <is>
          <t>2026-08</t>
        </is>
      </c>
    </row>
    <row r="43">
      <c r="A43" t="inlineStr">
        <is>
          <t>Opening Platform ARR</t>
        </is>
      </c>
      <c r="B43" s="5" t="n">
        <v>11500000</v>
      </c>
      <c r="C43" s="5" t="n">
        <v>11773050.51471953</v>
      </c>
      <c r="D43" s="5" t="n">
        <v>12061216.960426</v>
      </c>
      <c r="E43" s="5" t="n">
        <v>12341417.73902646</v>
      </c>
      <c r="F43" s="5" t="n">
        <v>12698658.96089721</v>
      </c>
      <c r="G43" s="5" t="n">
        <v>13587112.12144288</v>
      </c>
      <c r="H43" s="5" t="n">
        <v>13883144.8496004</v>
      </c>
      <c r="I43" s="5" t="n">
        <v>14265276.34175139</v>
      </c>
      <c r="J43" s="5" t="n">
        <v>14561020.00416379</v>
      </c>
      <c r="K43" s="5" t="n">
        <v>14937783.33203159</v>
      </c>
      <c r="L43" s="5" t="n">
        <v>15352129.91510337</v>
      </c>
      <c r="M43" s="5" t="n">
        <v>15734011.34717975</v>
      </c>
      <c r="N43" s="5" t="n">
        <v>16058457.92263372</v>
      </c>
      <c r="O43" s="5" t="n">
        <v>16533859.65836316</v>
      </c>
      <c r="P43" s="5" t="n">
        <v>16967034.14363138</v>
      </c>
      <c r="Q43" s="5" t="n">
        <v>17450415.0171393</v>
      </c>
      <c r="R43" s="5" t="n">
        <v>17991740.30973512</v>
      </c>
      <c r="S43" s="5" t="n">
        <v>19345700.32210587</v>
      </c>
      <c r="T43" s="5" t="n">
        <v>19714987.77098624</v>
      </c>
      <c r="U43" s="5" t="n">
        <v>20154741.04258561</v>
      </c>
      <c r="V43" s="5" t="n">
        <v>20564090.80093312</v>
      </c>
      <c r="W43" s="5" t="n">
        <v>21042594.71233585</v>
      </c>
      <c r="X43" s="5" t="n">
        <v>21490942.24145012</v>
      </c>
      <c r="Y43" s="5" t="n">
        <v>21845278.94566396</v>
      </c>
    </row>
    <row r="44">
      <c r="A44" t="inlineStr">
        <is>
          <t>New ARR</t>
        </is>
      </c>
      <c r="B44" s="5" t="n">
        <v>272000</v>
      </c>
      <c r="C44" s="5" t="n">
        <v>272000</v>
      </c>
      <c r="D44" s="5" t="n">
        <v>272000</v>
      </c>
      <c r="E44" s="5" t="n">
        <v>340000</v>
      </c>
      <c r="F44" s="5" t="n">
        <v>249900</v>
      </c>
      <c r="G44" s="5" t="n">
        <v>285600</v>
      </c>
      <c r="H44" s="5" t="n">
        <v>357000</v>
      </c>
      <c r="I44" s="5" t="n">
        <v>285600</v>
      </c>
      <c r="J44" s="5" t="n">
        <v>357000</v>
      </c>
      <c r="K44" s="5" t="n">
        <v>392700</v>
      </c>
      <c r="L44" s="5" t="n">
        <v>357000</v>
      </c>
      <c r="M44" s="5" t="n">
        <v>321300</v>
      </c>
      <c r="N44" s="5" t="n">
        <v>464100</v>
      </c>
      <c r="O44" s="5" t="n">
        <v>428400</v>
      </c>
      <c r="P44" s="5" t="n">
        <v>464100</v>
      </c>
      <c r="Q44" s="5" t="n">
        <v>535500</v>
      </c>
      <c r="R44" s="5" t="n">
        <v>340578.0000000001</v>
      </c>
      <c r="S44" s="5" t="n">
        <v>416262.0000000001</v>
      </c>
      <c r="T44" s="5" t="n">
        <v>491946.0000000001</v>
      </c>
      <c r="U44" s="5" t="n">
        <v>454104.0000000001</v>
      </c>
      <c r="V44" s="5" t="n">
        <v>529788.0000000001</v>
      </c>
      <c r="W44" s="5" t="n">
        <v>491946.0000000001</v>
      </c>
      <c r="X44" s="5" t="n">
        <v>416262.0000000001</v>
      </c>
      <c r="Y44" s="5" t="n">
        <v>454104.0000000001</v>
      </c>
    </row>
    <row r="45">
      <c r="A45" t="inlineStr">
        <is>
          <t>Expansion ARR</t>
        </is>
      </c>
      <c r="B45" s="5" t="n">
        <v>108179.4806699658</v>
      </c>
      <c r="C45" s="5" t="n">
        <v>111714.9334554817</v>
      </c>
      <c r="D45" s="5" t="n">
        <v>116742.7168726947</v>
      </c>
      <c r="E45" s="5" t="n">
        <v>126941.3381584664</v>
      </c>
      <c r="F45" s="5" t="n">
        <v>117974.4984372411</v>
      </c>
      <c r="G45" s="5" t="n">
        <v>126610.6010769408</v>
      </c>
      <c r="H45" s="5" t="n">
        <v>142006.7293451241</v>
      </c>
      <c r="I45" s="5" t="n">
        <v>132437.4477194192</v>
      </c>
      <c r="J45" s="5" t="n">
        <v>141904.8003399256</v>
      </c>
      <c r="K45" s="5" t="n">
        <v>150364.5492028915</v>
      </c>
      <c r="L45" s="5" t="n">
        <v>158120.0372638215</v>
      </c>
      <c r="M45" s="5" t="n">
        <v>140997.0211295562</v>
      </c>
      <c r="N45" s="5" t="n">
        <v>150753.1839583629</v>
      </c>
      <c r="O45" s="5" t="n">
        <v>151749.9001317424</v>
      </c>
      <c r="P45" s="5" t="n">
        <v>169306.6104782309</v>
      </c>
      <c r="Q45" s="5" t="n">
        <v>159969.8333330594</v>
      </c>
      <c r="R45" s="5" t="n">
        <v>146792.6133143669</v>
      </c>
      <c r="S45" s="5" t="n">
        <v>166382.6000265704</v>
      </c>
      <c r="T45" s="5" t="n">
        <v>181579.6839980128</v>
      </c>
      <c r="U45" s="5" t="n">
        <v>178955.413682722</v>
      </c>
      <c r="V45" s="5" t="n">
        <v>171513.1453701577</v>
      </c>
      <c r="W45" s="5" t="n">
        <v>189070.5497535256</v>
      </c>
      <c r="X45" s="5" t="n">
        <v>150229.2857019863</v>
      </c>
      <c r="Y45" s="5" t="n">
        <v>173574.5181049625</v>
      </c>
    </row>
    <row r="46">
      <c r="A46" t="inlineStr">
        <is>
          <t>Price ARR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634932.9480448607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1079504.418584107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</row>
    <row r="47">
      <c r="A47" t="inlineStr">
        <is>
          <t>Churned ARR</t>
        </is>
      </c>
      <c r="B47" s="5" t="n">
        <v>-107128.9659504395</v>
      </c>
      <c r="C47" s="5" t="n">
        <v>-95548.48774901108</v>
      </c>
      <c r="D47" s="5" t="n">
        <v>-108541.9382722328</v>
      </c>
      <c r="E47" s="5" t="n">
        <v>-109700.1162877124</v>
      </c>
      <c r="F47" s="5" t="n">
        <v>-114354.2859364335</v>
      </c>
      <c r="G47" s="5" t="n">
        <v>-116177.8729194194</v>
      </c>
      <c r="H47" s="5" t="n">
        <v>-116875.2371941403</v>
      </c>
      <c r="I47" s="5" t="n">
        <v>-122293.7853070146</v>
      </c>
      <c r="J47" s="5" t="n">
        <v>-122141.4724721307</v>
      </c>
      <c r="K47" s="5" t="n">
        <v>-128717.9661311117</v>
      </c>
      <c r="L47" s="5" t="n">
        <v>-133238.6051874374</v>
      </c>
      <c r="M47" s="5" t="n">
        <v>-137850.4456755881</v>
      </c>
      <c r="N47" s="5" t="n">
        <v>-139451.4482289278</v>
      </c>
      <c r="O47" s="5" t="n">
        <v>-146975.4148635121</v>
      </c>
      <c r="P47" s="5" t="n">
        <v>-150025.7369703075</v>
      </c>
      <c r="Q47" s="5" t="n">
        <v>-154144.5407372486</v>
      </c>
      <c r="R47" s="5" t="n">
        <v>-212915.019527719</v>
      </c>
      <c r="S47" s="5" t="n">
        <v>-213357.1511462027</v>
      </c>
      <c r="T47" s="5" t="n">
        <v>-233772.4123986424</v>
      </c>
      <c r="U47" s="5" t="n">
        <v>-223709.6553352112</v>
      </c>
      <c r="V47" s="5" t="n">
        <v>-222797.2339674288</v>
      </c>
      <c r="W47" s="5" t="n">
        <v>-232669.0206392573</v>
      </c>
      <c r="X47" s="5" t="n">
        <v>-212154.5814881476</v>
      </c>
      <c r="Y47" s="5" t="n">
        <v>-211884.1682785171</v>
      </c>
    </row>
    <row r="48">
      <c r="A48" t="inlineStr">
        <is>
          <t>Closing Platform ARR</t>
        </is>
      </c>
      <c r="B48" s="6">
        <f>B43+B44+B45+B46+B47</f>
        <v/>
      </c>
      <c r="C48" s="6">
        <f>C43+C44+C45+C46+C47</f>
        <v/>
      </c>
      <c r="D48" s="6">
        <f>D43+D44+D45+D46+D47</f>
        <v/>
      </c>
      <c r="E48" s="6">
        <f>E43+E44+E45+E46+E47</f>
        <v/>
      </c>
      <c r="F48" s="6">
        <f>F43+F44+F45+F46+F47</f>
        <v/>
      </c>
      <c r="G48" s="6">
        <f>G43+G44+G45+G46+G47</f>
        <v/>
      </c>
      <c r="H48" s="6">
        <f>H43+H44+H45+H46+H47</f>
        <v/>
      </c>
      <c r="I48" s="6">
        <f>I43+I44+I45+I46+I47</f>
        <v/>
      </c>
      <c r="J48" s="6">
        <f>J43+J44+J45+J46+J47</f>
        <v/>
      </c>
      <c r="K48" s="6">
        <f>K43+K44+K45+K46+K47</f>
        <v/>
      </c>
      <c r="L48" s="6">
        <f>L43+L44+L45+L46+L47</f>
        <v/>
      </c>
      <c r="M48" s="6">
        <f>M43+M44+M45+M46+M47</f>
        <v/>
      </c>
      <c r="N48" s="6">
        <f>N43+N44+N45+N46+N47</f>
        <v/>
      </c>
      <c r="O48" s="6">
        <f>O43+O44+O45+O46+O47</f>
        <v/>
      </c>
      <c r="P48" s="6">
        <f>P43+P44+P45+P46+P47</f>
        <v/>
      </c>
      <c r="Q48" s="6">
        <f>Q43+Q44+Q45+Q46+Q47</f>
        <v/>
      </c>
      <c r="R48" s="6">
        <f>R43+R44+R45+R46+R47</f>
        <v/>
      </c>
      <c r="S48" s="6">
        <f>S43+S44+S45+S46+S47</f>
        <v/>
      </c>
      <c r="T48" s="6">
        <f>T43+T44+T45+T46+T47</f>
        <v/>
      </c>
      <c r="U48" s="6">
        <f>U43+U44+U45+U46+U47</f>
        <v/>
      </c>
      <c r="V48" s="6">
        <f>V43+V44+V45+V46+V47</f>
        <v/>
      </c>
      <c r="W48" s="6">
        <f>W43+W44+W45+W46+W47</f>
        <v/>
      </c>
      <c r="X48" s="6">
        <f>X43+X44+X45+X46+X47</f>
        <v/>
      </c>
      <c r="Y48" s="6">
        <f>Y43+Y44+Y45+Y46+Y47</f>
        <v/>
      </c>
    </row>
    <row r="49">
      <c r="A49" t="inlineStr">
        <is>
          <t>Opening customers</t>
        </is>
      </c>
      <c r="B49" s="8" t="n">
        <v>380</v>
      </c>
      <c r="C49" s="8" t="n">
        <v>384.4600863425072</v>
      </c>
      <c r="D49" s="8" t="n">
        <v>389.3398602121638</v>
      </c>
      <c r="E49" s="8" t="n">
        <v>393.8360924569923</v>
      </c>
      <c r="F49" s="8" t="n">
        <v>400.3353710605996</v>
      </c>
      <c r="G49" s="8" t="n">
        <v>403.7302608175652</v>
      </c>
      <c r="H49" s="8" t="n">
        <v>408.2781274638584</v>
      </c>
      <c r="I49" s="8" t="n">
        <v>414.8410385689822</v>
      </c>
      <c r="J49" s="8" t="n">
        <v>419.284676975144</v>
      </c>
      <c r="K49" s="8" t="n">
        <v>425.7676123865299</v>
      </c>
      <c r="L49" s="8" t="n">
        <v>433.0987988890564</v>
      </c>
      <c r="M49" s="8" t="n">
        <v>439.3400057970593</v>
      </c>
      <c r="N49" s="8" t="n">
        <v>444.4908147506135</v>
      </c>
      <c r="O49" s="8" t="n">
        <v>453.6308620615036</v>
      </c>
      <c r="P49" s="8" t="n">
        <v>461.5983744558248</v>
      </c>
      <c r="Q49" s="8" t="n">
        <v>470.5168339976756</v>
      </c>
      <c r="R49" s="8" t="n">
        <v>481.3606233164693</v>
      </c>
      <c r="S49" s="8" t="n">
        <v>484.6641812408884</v>
      </c>
      <c r="T49" s="8" t="n">
        <v>490.318984776018</v>
      </c>
      <c r="U49" s="8" t="n">
        <v>497.5049790435555</v>
      </c>
      <c r="V49" s="8" t="n">
        <v>503.9828705156303</v>
      </c>
      <c r="W49" s="8" t="n">
        <v>512.5225761313654</v>
      </c>
      <c r="X49" s="8" t="n">
        <v>519.8555884107833</v>
      </c>
      <c r="Y49" s="8" t="n">
        <v>525.7236708078015</v>
      </c>
    </row>
    <row r="50">
      <c r="A50" t="inlineStr">
        <is>
          <t>New logos</t>
        </is>
      </c>
      <c r="B50" s="8" t="n">
        <v>8</v>
      </c>
      <c r="C50" s="8" t="n">
        <v>8</v>
      </c>
      <c r="D50" s="8" t="n">
        <v>8</v>
      </c>
      <c r="E50" s="8" t="n">
        <v>10</v>
      </c>
      <c r="F50" s="8" t="n">
        <v>7</v>
      </c>
      <c r="G50" s="8" t="n">
        <v>8</v>
      </c>
      <c r="H50" s="8" t="n">
        <v>10</v>
      </c>
      <c r="I50" s="8" t="n">
        <v>8</v>
      </c>
      <c r="J50" s="8" t="n">
        <v>10</v>
      </c>
      <c r="K50" s="8" t="n">
        <v>11</v>
      </c>
      <c r="L50" s="8" t="n">
        <v>10</v>
      </c>
      <c r="M50" s="8" t="n">
        <v>9</v>
      </c>
      <c r="N50" s="8" t="n">
        <v>13</v>
      </c>
      <c r="O50" s="8" t="n">
        <v>12</v>
      </c>
      <c r="P50" s="8" t="n">
        <v>13</v>
      </c>
      <c r="Q50" s="8" t="n">
        <v>15</v>
      </c>
      <c r="R50" s="8" t="n">
        <v>9</v>
      </c>
      <c r="S50" s="8" t="n">
        <v>11</v>
      </c>
      <c r="T50" s="8" t="n">
        <v>13</v>
      </c>
      <c r="U50" s="8" t="n">
        <v>12</v>
      </c>
      <c r="V50" s="8" t="n">
        <v>14</v>
      </c>
      <c r="W50" s="8" t="n">
        <v>13</v>
      </c>
      <c r="X50" s="8" t="n">
        <v>11</v>
      </c>
      <c r="Y50" s="8" t="n">
        <v>12</v>
      </c>
    </row>
    <row r="51">
      <c r="A51" t="inlineStr">
        <is>
          <t>Churned customers</t>
        </is>
      </c>
      <c r="B51" s="8" t="n">
        <v>-3.539913657492784</v>
      </c>
      <c r="C51" s="8" t="n">
        <v>-3.120226130343409</v>
      </c>
      <c r="D51" s="8" t="n">
        <v>-3.503767755171516</v>
      </c>
      <c r="E51" s="8" t="n">
        <v>-3.500721396392696</v>
      </c>
      <c r="F51" s="8" t="n">
        <v>-3.605110243034472</v>
      </c>
      <c r="G51" s="8" t="n">
        <v>-3.452133353706815</v>
      </c>
      <c r="H51" s="8" t="n">
        <v>-3.437088894876101</v>
      </c>
      <c r="I51" s="8" t="n">
        <v>-3.556361593838253</v>
      </c>
      <c r="J51" s="8" t="n">
        <v>-3.517064588614084</v>
      </c>
      <c r="K51" s="8" t="n">
        <v>-3.668813497473599</v>
      </c>
      <c r="L51" s="8" t="n">
        <v>-3.758793091997084</v>
      </c>
      <c r="M51" s="8" t="n">
        <v>-3.849191046445746</v>
      </c>
      <c r="N51" s="8" t="n">
        <v>-3.859952689109956</v>
      </c>
      <c r="O51" s="8" t="n">
        <v>-4.032487605678798</v>
      </c>
      <c r="P51" s="8" t="n">
        <v>-4.081540458149244</v>
      </c>
      <c r="Q51" s="8" t="n">
        <v>-4.156210681206228</v>
      </c>
      <c r="R51" s="8" t="n">
        <v>-5.696442075580957</v>
      </c>
      <c r="S51" s="8" t="n">
        <v>-5.345196464870417</v>
      </c>
      <c r="T51" s="8" t="n">
        <v>-5.814005732462543</v>
      </c>
      <c r="U51" s="8" t="n">
        <v>-5.522108527925162</v>
      </c>
      <c r="V51" s="8" t="n">
        <v>-5.460294384264833</v>
      </c>
      <c r="W51" s="8" t="n">
        <v>-5.666987720582141</v>
      </c>
      <c r="X51" s="8" t="n">
        <v>-5.131917602981866</v>
      </c>
      <c r="Y51" s="8" t="n">
        <v>-5.099157717807494</v>
      </c>
    </row>
    <row r="52">
      <c r="A52" t="inlineStr">
        <is>
          <t>Closing customers</t>
        </is>
      </c>
      <c r="B52" s="9">
        <f>B49+B50+B51</f>
        <v/>
      </c>
      <c r="C52" s="9">
        <f>C49+C50+C51</f>
        <v/>
      </c>
      <c r="D52" s="9">
        <f>D49+D50+D51</f>
        <v/>
      </c>
      <c r="E52" s="9">
        <f>E49+E50+E51</f>
        <v/>
      </c>
      <c r="F52" s="9">
        <f>F49+F50+F51</f>
        <v/>
      </c>
      <c r="G52" s="9">
        <f>G49+G50+G51</f>
        <v/>
      </c>
      <c r="H52" s="9">
        <f>H49+H50+H51</f>
        <v/>
      </c>
      <c r="I52" s="9">
        <f>I49+I50+I51</f>
        <v/>
      </c>
      <c r="J52" s="9">
        <f>J49+J50+J51</f>
        <v/>
      </c>
      <c r="K52" s="9">
        <f>K49+K50+K51</f>
        <v/>
      </c>
      <c r="L52" s="9">
        <f>L49+L50+L51</f>
        <v/>
      </c>
      <c r="M52" s="9">
        <f>M49+M50+M51</f>
        <v/>
      </c>
      <c r="N52" s="9">
        <f>N49+N50+N51</f>
        <v/>
      </c>
      <c r="O52" s="9">
        <f>O49+O50+O51</f>
        <v/>
      </c>
      <c r="P52" s="9">
        <f>P49+P50+P51</f>
        <v/>
      </c>
      <c r="Q52" s="9">
        <f>Q49+Q50+Q51</f>
        <v/>
      </c>
      <c r="R52" s="9">
        <f>R49+R50+R51</f>
        <v/>
      </c>
      <c r="S52" s="9">
        <f>S49+S50+S51</f>
        <v/>
      </c>
      <c r="T52" s="9">
        <f>T49+T50+T51</f>
        <v/>
      </c>
      <c r="U52" s="9">
        <f>U49+U50+U51</f>
        <v/>
      </c>
      <c r="V52" s="9">
        <f>V49+V50+V51</f>
        <v/>
      </c>
      <c r="W52" s="9">
        <f>W49+W50+W51</f>
        <v/>
      </c>
      <c r="X52" s="9">
        <f>X49+X50+X51</f>
        <v/>
      </c>
      <c r="Y52" s="9">
        <f>Y49+Y50+Y51</f>
        <v/>
      </c>
    </row>
    <row r="53">
      <c r="A53" t="inlineStr">
        <is>
          <t>Insights attach rate</t>
        </is>
      </c>
      <c r="B53" s="10" t="n">
        <v>0.126</v>
      </c>
      <c r="C53" s="10" t="n">
        <v>0.132</v>
      </c>
      <c r="D53" s="10" t="n">
        <v>0.138</v>
      </c>
      <c r="E53" s="10" t="n">
        <v>0.144</v>
      </c>
      <c r="F53" s="10" t="n">
        <v>0.15</v>
      </c>
      <c r="G53" s="10" t="n">
        <v>0.156</v>
      </c>
      <c r="H53" s="10" t="n">
        <v>0.162</v>
      </c>
      <c r="I53" s="10" t="n">
        <v>0.168</v>
      </c>
      <c r="J53" s="10" t="n">
        <v>0.174</v>
      </c>
      <c r="K53" s="10" t="n">
        <v>0.18</v>
      </c>
      <c r="L53" s="10" t="n">
        <v>0.186</v>
      </c>
      <c r="M53" s="10" t="n">
        <v>0.192</v>
      </c>
      <c r="N53" s="10" t="n">
        <v>0.198</v>
      </c>
      <c r="O53" s="10" t="n">
        <v>0.204</v>
      </c>
      <c r="P53" s="10" t="n">
        <v>0.21</v>
      </c>
      <c r="Q53" s="10" t="n">
        <v>0.216</v>
      </c>
      <c r="R53" s="10" t="n">
        <v>0.221</v>
      </c>
      <c r="S53" s="10" t="n">
        <v>0.226</v>
      </c>
      <c r="T53" s="10" t="n">
        <v>0.231</v>
      </c>
      <c r="U53" s="10" t="n">
        <v>0.236</v>
      </c>
      <c r="V53" s="10" t="n">
        <v>0.241</v>
      </c>
      <c r="W53" s="10" t="n">
        <v>0.246</v>
      </c>
      <c r="X53" s="10" t="n">
        <v>0.251</v>
      </c>
      <c r="Y53" s="10" t="n">
        <v>0.256</v>
      </c>
    </row>
    <row r="54">
      <c r="A54" t="inlineStr">
        <is>
          <t>Insights customers</t>
        </is>
      </c>
      <c r="B54" s="8" t="n">
        <v>48.44197087915591</v>
      </c>
      <c r="C54" s="8" t="n">
        <v>51.39286154800563</v>
      </c>
      <c r="D54" s="8" t="n">
        <v>54.34938075906495</v>
      </c>
      <c r="E54" s="8" t="n">
        <v>57.64829343272634</v>
      </c>
      <c r="F54" s="8" t="n">
        <v>60.55953912263477</v>
      </c>
      <c r="G54" s="8" t="n">
        <v>63.69138788436191</v>
      </c>
      <c r="H54" s="8" t="n">
        <v>67.20424824817512</v>
      </c>
      <c r="I54" s="8" t="n">
        <v>70.43982573182419</v>
      </c>
      <c r="J54" s="8" t="n">
        <v>74.0835645552562</v>
      </c>
      <c r="K54" s="8" t="n">
        <v>77.95778380003014</v>
      </c>
      <c r="L54" s="8" t="n">
        <v>81.71724107825302</v>
      </c>
      <c r="M54" s="8" t="n">
        <v>85.3422364321178</v>
      </c>
      <c r="N54" s="8" t="n">
        <v>89.81891068817771</v>
      </c>
      <c r="O54" s="8" t="n">
        <v>94.16606838898826</v>
      </c>
      <c r="P54" s="8" t="n">
        <v>98.80853513951187</v>
      </c>
      <c r="Q54" s="8" t="n">
        <v>103.9738946363574</v>
      </c>
      <c r="R54" s="8" t="n">
        <v>107.1107840542363</v>
      </c>
      <c r="S54" s="8" t="n">
        <v>110.8120905593801</v>
      </c>
      <c r="T54" s="8" t="n">
        <v>114.9236501590613</v>
      </c>
      <c r="U54" s="8" t="n">
        <v>118.9399574416888</v>
      </c>
      <c r="V54" s="8" t="n">
        <v>123.5179408476591</v>
      </c>
      <c r="W54" s="8" t="n">
        <v>127.8844747490527</v>
      </c>
      <c r="X54" s="8" t="n">
        <v>131.9566413727582</v>
      </c>
      <c r="Y54" s="8" t="n">
        <v>136.3518753510384</v>
      </c>
    </row>
    <row r="55">
      <c r="A55" t="inlineStr">
        <is>
          <t>Insights ARR per customer</t>
        </is>
      </c>
      <c r="B55" s="5" t="n">
        <v>11615</v>
      </c>
      <c r="C55" s="5" t="n">
        <v>11731.15</v>
      </c>
      <c r="D55" s="5" t="n">
        <v>11848.4615</v>
      </c>
      <c r="E55" s="5" t="n">
        <v>11966.946115</v>
      </c>
      <c r="F55" s="5" t="n">
        <v>12086.61557615</v>
      </c>
      <c r="G55" s="5" t="n">
        <v>12207.4817319115</v>
      </c>
      <c r="H55" s="5" t="n">
        <v>12329.55654923061</v>
      </c>
      <c r="I55" s="5" t="n">
        <v>12452.85211472292</v>
      </c>
      <c r="J55" s="5" t="n">
        <v>12577.38063587015</v>
      </c>
      <c r="K55" s="5" t="n">
        <v>12703.15444222885</v>
      </c>
      <c r="L55" s="5" t="n">
        <v>12830.18598665114</v>
      </c>
      <c r="M55" s="5" t="n">
        <v>12958.48784651765</v>
      </c>
      <c r="N55" s="5" t="n">
        <v>13088.07272498283</v>
      </c>
      <c r="O55" s="5" t="n">
        <v>13218.95345223266</v>
      </c>
      <c r="P55" s="5" t="n">
        <v>13351.14298675499</v>
      </c>
      <c r="Q55" s="5" t="n">
        <v>13484.65441662253</v>
      </c>
      <c r="R55" s="5" t="n">
        <v>13619.50096078876</v>
      </c>
      <c r="S55" s="5" t="n">
        <v>13755.69597039665</v>
      </c>
      <c r="T55" s="5" t="n">
        <v>13893.25293010061</v>
      </c>
      <c r="U55" s="5" t="n">
        <v>14032.18545940162</v>
      </c>
      <c r="V55" s="5" t="n">
        <v>14172.50731399564</v>
      </c>
      <c r="W55" s="5" t="n">
        <v>14314.23238713559</v>
      </c>
      <c r="X55" s="5" t="n">
        <v>14457.37471100695</v>
      </c>
      <c r="Y55" s="5" t="n">
        <v>14601.94845811702</v>
      </c>
    </row>
    <row r="56">
      <c r="A56" t="inlineStr">
        <is>
          <t>Insights ARR</t>
        </is>
      </c>
      <c r="B56" s="5" t="n">
        <v>562653.4917613959</v>
      </c>
      <c r="C56" s="5" t="n">
        <v>602897.3677488862</v>
      </c>
      <c r="D56" s="5" t="n">
        <v>643956.5454726218</v>
      </c>
      <c r="E56" s="5" t="n">
        <v>689874.0211311445</v>
      </c>
      <c r="F56" s="5" t="n">
        <v>731959.8688441027</v>
      </c>
      <c r="G56" s="5" t="n">
        <v>777511.4540784374</v>
      </c>
      <c r="H56" s="5" t="n">
        <v>828598.5791244075</v>
      </c>
      <c r="I56" s="5" t="n">
        <v>877176.7328252608</v>
      </c>
      <c r="J56" s="5" t="n">
        <v>931777.1902735155</v>
      </c>
      <c r="K56" s="5" t="n">
        <v>990309.7675856693</v>
      </c>
      <c r="L56" s="5" t="n">
        <v>1048447.401349995</v>
      </c>
      <c r="M56" s="5" t="n">
        <v>1105906.333600234</v>
      </c>
      <c r="N56" s="5" t="n">
        <v>1175556.435165607</v>
      </c>
      <c r="O56" s="5" t="n">
        <v>1244776.874813793</v>
      </c>
      <c r="P56" s="5" t="n">
        <v>1319206.880959427</v>
      </c>
      <c r="Q56" s="5" t="n">
        <v>1402052.037521603</v>
      </c>
      <c r="R56" s="5" t="n">
        <v>1458795.426337509</v>
      </c>
      <c r="S56" s="5" t="n">
        <v>1524297.427578893</v>
      </c>
      <c r="T56" s="5" t="n">
        <v>1596663.339310237</v>
      </c>
      <c r="U56" s="5" t="n">
        <v>1668987.541355113</v>
      </c>
      <c r="V56" s="5" t="n">
        <v>1750558.920073129</v>
      </c>
      <c r="W56" s="5" t="n">
        <v>1830568.090264714</v>
      </c>
      <c r="X56" s="5" t="n">
        <v>1907746.609931928</v>
      </c>
      <c r="Y56" s="5" t="n">
        <v>1991003.05604346</v>
      </c>
    </row>
    <row r="57">
      <c r="A57" t="inlineStr">
        <is>
          <t>Total ARR</t>
        </is>
      </c>
      <c r="B57" s="6">
        <f>B48+B56</f>
        <v/>
      </c>
      <c r="C57" s="6">
        <f>C48+C56</f>
        <v/>
      </c>
      <c r="D57" s="6">
        <f>D48+D56</f>
        <v/>
      </c>
      <c r="E57" s="6">
        <f>E48+E56</f>
        <v/>
      </c>
      <c r="F57" s="6">
        <f>F48+F56</f>
        <v/>
      </c>
      <c r="G57" s="6">
        <f>G48+G56</f>
        <v/>
      </c>
      <c r="H57" s="6">
        <f>H48+H56</f>
        <v/>
      </c>
      <c r="I57" s="6">
        <f>I48+I56</f>
        <v/>
      </c>
      <c r="J57" s="6">
        <f>J48+J56</f>
        <v/>
      </c>
      <c r="K57" s="6">
        <f>K48+K56</f>
        <v/>
      </c>
      <c r="L57" s="6">
        <f>L48+L56</f>
        <v/>
      </c>
      <c r="M57" s="6">
        <f>M48+M56</f>
        <v/>
      </c>
      <c r="N57" s="6">
        <f>N48+N56</f>
        <v/>
      </c>
      <c r="O57" s="6">
        <f>O48+O56</f>
        <v/>
      </c>
      <c r="P57" s="6">
        <f>P48+P56</f>
        <v/>
      </c>
      <c r="Q57" s="6">
        <f>Q48+Q56</f>
        <v/>
      </c>
      <c r="R57" s="6">
        <f>R48+R56</f>
        <v/>
      </c>
      <c r="S57" s="6">
        <f>S48+S56</f>
        <v/>
      </c>
      <c r="T57" s="6">
        <f>T48+T56</f>
        <v/>
      </c>
      <c r="U57" s="6">
        <f>U48+U56</f>
        <v/>
      </c>
      <c r="V57" s="6">
        <f>V48+V56</f>
        <v/>
      </c>
      <c r="W57" s="6">
        <f>W48+W56</f>
        <v/>
      </c>
      <c r="X57" s="6">
        <f>X48+X56</f>
        <v/>
      </c>
      <c r="Y57" s="6">
        <f>Y48+Y56</f>
        <v/>
      </c>
    </row>
    <row r="58">
      <c r="A58" s="2" t="inlineStr">
        <is>
          <t>Shaded yellow: values from the model. Shaded blue: Excel formulas.</t>
        </is>
      </c>
    </row>
    <row r="60">
      <c r="A60" s="1" t="inlineStr">
        <is>
          <t>Actuals: cloud hosting</t>
        </is>
      </c>
    </row>
    <row r="61">
      <c r="A61" s="2" t="inlineStr">
        <is>
          <t>USD, monthly</t>
        </is>
      </c>
      <c r="B61" s="4" t="inlineStr">
        <is>
          <t>2024-09</t>
        </is>
      </c>
      <c r="C61" s="4" t="inlineStr">
        <is>
          <t>2024-10</t>
        </is>
      </c>
      <c r="D61" s="4" t="inlineStr">
        <is>
          <t>2024-11</t>
        </is>
      </c>
      <c r="E61" s="4" t="inlineStr">
        <is>
          <t>2024-12</t>
        </is>
      </c>
      <c r="F61" s="4" t="inlineStr">
        <is>
          <t>2025-01</t>
        </is>
      </c>
      <c r="G61" s="4" t="inlineStr">
        <is>
          <t>2025-02</t>
        </is>
      </c>
      <c r="H61" s="4" t="inlineStr">
        <is>
          <t>2025-03</t>
        </is>
      </c>
      <c r="I61" s="4" t="inlineStr">
        <is>
          <t>2025-04</t>
        </is>
      </c>
      <c r="J61" s="4" t="inlineStr">
        <is>
          <t>2025-05</t>
        </is>
      </c>
      <c r="K61" s="4" t="inlineStr">
        <is>
          <t>2025-06</t>
        </is>
      </c>
      <c r="L61" s="4" t="inlineStr">
        <is>
          <t>2025-07</t>
        </is>
      </c>
      <c r="M61" s="4" t="inlineStr">
        <is>
          <t>2025-08</t>
        </is>
      </c>
      <c r="N61" s="4" t="inlineStr">
        <is>
          <t>2025-09</t>
        </is>
      </c>
      <c r="O61" s="4" t="inlineStr">
        <is>
          <t>2025-10</t>
        </is>
      </c>
      <c r="P61" s="4" t="inlineStr">
        <is>
          <t>2025-11</t>
        </is>
      </c>
      <c r="Q61" s="4" t="inlineStr">
        <is>
          <t>2025-12</t>
        </is>
      </c>
      <c r="R61" s="4" t="inlineStr">
        <is>
          <t>2026-01</t>
        </is>
      </c>
      <c r="S61" s="4" t="inlineStr">
        <is>
          <t>2026-02</t>
        </is>
      </c>
      <c r="T61" s="4" t="inlineStr">
        <is>
          <t>2026-03</t>
        </is>
      </c>
      <c r="U61" s="4" t="inlineStr">
        <is>
          <t>2026-04</t>
        </is>
      </c>
      <c r="V61" s="4" t="inlineStr">
        <is>
          <t>2026-05</t>
        </is>
      </c>
      <c r="W61" s="4" t="inlineStr">
        <is>
          <t>2026-06</t>
        </is>
      </c>
      <c r="X61" s="4" t="inlineStr">
        <is>
          <t>2026-07</t>
        </is>
      </c>
      <c r="Y61" s="4" t="inlineStr">
        <is>
          <t>2026-08</t>
        </is>
      </c>
    </row>
    <row r="62">
      <c r="A62" t="inlineStr">
        <is>
          <t>Platform compute units</t>
        </is>
      </c>
      <c r="B62" s="8" t="n">
        <v>74918.05258326915</v>
      </c>
      <c r="C62" s="8" t="n">
        <v>78743.25054591721</v>
      </c>
      <c r="D62" s="8" t="n">
        <v>79566.70589756516</v>
      </c>
      <c r="E62" s="8" t="n">
        <v>79088.04183307357</v>
      </c>
      <c r="F62" s="8" t="n">
        <v>81989.66237815264</v>
      </c>
      <c r="G62" s="8" t="n">
        <v>81263.71591460716</v>
      </c>
      <c r="H62" s="8" t="n">
        <v>82001.64256652271</v>
      </c>
      <c r="I62" s="8" t="n">
        <v>86189.51431755692</v>
      </c>
      <c r="J62" s="8" t="n">
        <v>85453.67994195348</v>
      </c>
      <c r="K62" s="8" t="n">
        <v>84690.73414230353</v>
      </c>
      <c r="L62" s="8" t="n">
        <v>88517.93978506266</v>
      </c>
      <c r="M62" s="8" t="n">
        <v>89878.13345685141</v>
      </c>
      <c r="N62" s="8" t="n">
        <v>93087.79754321763</v>
      </c>
      <c r="O62" s="8" t="n">
        <v>91168.69417674438</v>
      </c>
      <c r="P62" s="8" t="n">
        <v>92056.2066077858</v>
      </c>
      <c r="Q62" s="8" t="n">
        <v>98228.50504720399</v>
      </c>
      <c r="R62" s="8" t="n">
        <v>97536.08203179987</v>
      </c>
      <c r="S62" s="8" t="n">
        <v>96719.11568224328</v>
      </c>
      <c r="T62" s="8" t="n">
        <v>97293.06939477385</v>
      </c>
      <c r="U62" s="8" t="n">
        <v>98998.36973191789</v>
      </c>
      <c r="V62" s="8" t="n">
        <v>101710.441267904</v>
      </c>
      <c r="W62" s="8" t="n">
        <v>103164.8186239474</v>
      </c>
      <c r="X62" s="8" t="n">
        <v>103407.8723134022</v>
      </c>
      <c r="Y62" s="8" t="n">
        <v>107717.0167437206</v>
      </c>
    </row>
    <row r="63">
      <c r="A63" t="inlineStr">
        <is>
          <t>Insights compute units</t>
        </is>
      </c>
      <c r="B63" s="8" t="n">
        <v>70587.46397950436</v>
      </c>
      <c r="C63" s="8" t="n">
        <v>78413.48031659354</v>
      </c>
      <c r="D63" s="8" t="n">
        <v>80879.64295990986</v>
      </c>
      <c r="E63" s="8" t="n">
        <v>84969.65235334868</v>
      </c>
      <c r="F63" s="8" t="n">
        <v>91697.4745233999</v>
      </c>
      <c r="G63" s="8" t="n">
        <v>96018.65057527606</v>
      </c>
      <c r="H63" s="8" t="n">
        <v>99333.45737933196</v>
      </c>
      <c r="I63" s="8" t="n">
        <v>105700.6578191024</v>
      </c>
      <c r="J63" s="8" t="n">
        <v>110526.3520529571</v>
      </c>
      <c r="K63" s="8" t="n">
        <v>116577.3983350254</v>
      </c>
      <c r="L63" s="8" t="n">
        <v>120975.4189336096</v>
      </c>
      <c r="M63" s="8" t="n">
        <v>124254.9089878108</v>
      </c>
      <c r="N63" s="8" t="n">
        <v>137599.3183711863</v>
      </c>
      <c r="O63" s="8" t="n">
        <v>144102.6619653509</v>
      </c>
      <c r="P63" s="8" t="n">
        <v>144341.2660786954</v>
      </c>
      <c r="Q63" s="8" t="n">
        <v>152164.5182013792</v>
      </c>
      <c r="R63" s="8" t="n">
        <v>164691.3319539401</v>
      </c>
      <c r="S63" s="8" t="n">
        <v>168598.9068423046</v>
      </c>
      <c r="T63" s="8" t="n">
        <v>229634.5229425451</v>
      </c>
      <c r="U63" s="8" t="n">
        <v>232535.8450776116</v>
      </c>
      <c r="V63" s="8" t="n">
        <v>248808.0131313565</v>
      </c>
      <c r="W63" s="8" t="n">
        <v>256858.3493138306</v>
      </c>
      <c r="X63" s="8" t="n">
        <v>257596.3171114291</v>
      </c>
      <c r="Y63" s="8" t="n">
        <v>274210.199569647</v>
      </c>
    </row>
    <row r="64">
      <c r="A64" t="inlineStr">
        <is>
          <t>Total units</t>
        </is>
      </c>
      <c r="B64" s="9">
        <f>B62+B63</f>
        <v/>
      </c>
      <c r="C64" s="9">
        <f>C62+C63</f>
        <v/>
      </c>
      <c r="D64" s="9">
        <f>D62+D63</f>
        <v/>
      </c>
      <c r="E64" s="9">
        <f>E62+E63</f>
        <v/>
      </c>
      <c r="F64" s="9">
        <f>F62+F63</f>
        <v/>
      </c>
      <c r="G64" s="9">
        <f>G62+G63</f>
        <v/>
      </c>
      <c r="H64" s="9">
        <f>H62+H63</f>
        <v/>
      </c>
      <c r="I64" s="9">
        <f>I62+I63</f>
        <v/>
      </c>
      <c r="J64" s="9">
        <f>J62+J63</f>
        <v/>
      </c>
      <c r="K64" s="9">
        <f>K62+K63</f>
        <v/>
      </c>
      <c r="L64" s="9">
        <f>L62+L63</f>
        <v/>
      </c>
      <c r="M64" s="9">
        <f>M62+M63</f>
        <v/>
      </c>
      <c r="N64" s="9">
        <f>N62+N63</f>
        <v/>
      </c>
      <c r="O64" s="9">
        <f>O62+O63</f>
        <v/>
      </c>
      <c r="P64" s="9">
        <f>P62+P63</f>
        <v/>
      </c>
      <c r="Q64" s="9">
        <f>Q62+Q63</f>
        <v/>
      </c>
      <c r="R64" s="9">
        <f>R62+R63</f>
        <v/>
      </c>
      <c r="S64" s="9">
        <f>S62+S63</f>
        <v/>
      </c>
      <c r="T64" s="9">
        <f>T62+T63</f>
        <v/>
      </c>
      <c r="U64" s="9">
        <f>U62+U63</f>
        <v/>
      </c>
      <c r="V64" s="9">
        <f>V62+V63</f>
        <v/>
      </c>
      <c r="W64" s="9">
        <f>W62+W63</f>
        <v/>
      </c>
      <c r="X64" s="9">
        <f>X62+X63</f>
        <v/>
      </c>
      <c r="Y64" s="9">
        <f>Y62+Y63</f>
        <v/>
      </c>
    </row>
    <row r="65">
      <c r="A65" t="inlineStr">
        <is>
          <t>Committed units</t>
        </is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</row>
    <row r="66">
      <c r="A66" t="inlineStr">
        <is>
          <t>On-demand unit price</t>
        </is>
      </c>
      <c r="B66" s="11" t="n">
        <v>0.43912</v>
      </c>
      <c r="C66" s="11" t="n">
        <v>0.43824176</v>
      </c>
      <c r="D66" s="11" t="n">
        <v>0.43736527648</v>
      </c>
      <c r="E66" s="11" t="n">
        <v>0.43649054592704</v>
      </c>
      <c r="F66" s="11" t="n">
        <v>0.4356175648351859</v>
      </c>
      <c r="G66" s="11" t="n">
        <v>0.4347463297055156</v>
      </c>
      <c r="H66" s="11" t="n">
        <v>0.4338768370461045</v>
      </c>
      <c r="I66" s="11" t="n">
        <v>0.4330090833720123</v>
      </c>
      <c r="J66" s="11" t="n">
        <v>0.4321430652052683</v>
      </c>
      <c r="K66" s="11" t="n">
        <v>0.4312787790748578</v>
      </c>
      <c r="L66" s="11" t="n">
        <v>0.4304162215167081</v>
      </c>
      <c r="M66" s="11" t="n">
        <v>0.4295553890736746</v>
      </c>
      <c r="N66" s="11" t="n">
        <v>0.4286962782955273</v>
      </c>
      <c r="O66" s="11" t="n">
        <v>0.4278388857389362</v>
      </c>
      <c r="P66" s="11" t="n">
        <v>0.4269832079674584</v>
      </c>
      <c r="Q66" s="11" t="n">
        <v>0.4261292415515235</v>
      </c>
      <c r="R66" s="11" t="n">
        <v>0.4252769830684204</v>
      </c>
      <c r="S66" s="11" t="n">
        <v>0.4244264291022836</v>
      </c>
      <c r="T66" s="11" t="n">
        <v>0.423577576244079</v>
      </c>
      <c r="U66" s="11" t="n">
        <v>0.4227304210915909</v>
      </c>
      <c r="V66" s="11" t="n">
        <v>0.4218849602494077</v>
      </c>
      <c r="W66" s="11" t="n">
        <v>0.4210411903289089</v>
      </c>
      <c r="X66" s="11" t="n">
        <v>0.4201991079482511</v>
      </c>
      <c r="Y66" s="11" t="n">
        <v>0.4193587097323546</v>
      </c>
    </row>
    <row r="67">
      <c r="A67" t="inlineStr">
        <is>
          <t>Commitment discount</t>
        </is>
      </c>
      <c r="B67" s="10" t="n">
        <v>0</v>
      </c>
      <c r="C67" s="10" t="n">
        <v>0</v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</row>
    <row r="68">
      <c r="A68" t="inlineStr">
        <is>
          <t>Committed cost</t>
        </is>
      </c>
      <c r="B68" s="6">
        <f>MIN(B64,B65)*B66*(1-B67)</f>
        <v/>
      </c>
      <c r="C68" s="6">
        <f>MIN(C64,C65)*C66*(1-C67)</f>
        <v/>
      </c>
      <c r="D68" s="6">
        <f>MIN(D64,D65)*D66*(1-D67)</f>
        <v/>
      </c>
      <c r="E68" s="6">
        <f>MIN(E64,E65)*E66*(1-E67)</f>
        <v/>
      </c>
      <c r="F68" s="6">
        <f>MIN(F64,F65)*F66*(1-F67)</f>
        <v/>
      </c>
      <c r="G68" s="6">
        <f>MIN(G64,G65)*G66*(1-G67)</f>
        <v/>
      </c>
      <c r="H68" s="6">
        <f>MIN(H64,H65)*H66*(1-H67)</f>
        <v/>
      </c>
      <c r="I68" s="6">
        <f>MIN(I64,I65)*I66*(1-I67)</f>
        <v/>
      </c>
      <c r="J68" s="6">
        <f>MIN(J64,J65)*J66*(1-J67)</f>
        <v/>
      </c>
      <c r="K68" s="6">
        <f>MIN(K64,K65)*K66*(1-K67)</f>
        <v/>
      </c>
      <c r="L68" s="6">
        <f>MIN(L64,L65)*L66*(1-L67)</f>
        <v/>
      </c>
      <c r="M68" s="6">
        <f>MIN(M64,M65)*M66*(1-M67)</f>
        <v/>
      </c>
      <c r="N68" s="6">
        <f>MIN(N64,N65)*N66*(1-N67)</f>
        <v/>
      </c>
      <c r="O68" s="6">
        <f>MIN(O64,O65)*O66*(1-O67)</f>
        <v/>
      </c>
      <c r="P68" s="6">
        <f>MIN(P64,P65)*P66*(1-P67)</f>
        <v/>
      </c>
      <c r="Q68" s="6">
        <f>MIN(Q64,Q65)*Q66*(1-Q67)</f>
        <v/>
      </c>
      <c r="R68" s="6">
        <f>MIN(R64,R65)*R66*(1-R67)</f>
        <v/>
      </c>
      <c r="S68" s="6">
        <f>MIN(S64,S65)*S66*(1-S67)</f>
        <v/>
      </c>
      <c r="T68" s="6">
        <f>MIN(T64,T65)*T66*(1-T67)</f>
        <v/>
      </c>
      <c r="U68" s="6">
        <f>MIN(U64,U65)*U66*(1-U67)</f>
        <v/>
      </c>
      <c r="V68" s="6">
        <f>MIN(V64,V65)*V66*(1-V67)</f>
        <v/>
      </c>
      <c r="W68" s="6">
        <f>MIN(W64,W65)*W66*(1-W67)</f>
        <v/>
      </c>
      <c r="X68" s="6">
        <f>MIN(X64,X65)*X66*(1-X67)</f>
        <v/>
      </c>
      <c r="Y68" s="6">
        <f>MIN(Y64,Y65)*Y66*(1-Y67)</f>
        <v/>
      </c>
    </row>
    <row r="69">
      <c r="A69" t="inlineStr">
        <is>
          <t>On-demand cost</t>
        </is>
      </c>
      <c r="B69" s="6">
        <f>MAX(B64-B65,0)*B66</f>
        <v/>
      </c>
      <c r="C69" s="6">
        <f>MAX(C64-C65,0)*C66</f>
        <v/>
      </c>
      <c r="D69" s="6">
        <f>MAX(D64-D65,0)*D66</f>
        <v/>
      </c>
      <c r="E69" s="6">
        <f>MAX(E64-E65,0)*E66</f>
        <v/>
      </c>
      <c r="F69" s="6">
        <f>MAX(F64-F65,0)*F66</f>
        <v/>
      </c>
      <c r="G69" s="6">
        <f>MAX(G64-G65,0)*G66</f>
        <v/>
      </c>
      <c r="H69" s="6">
        <f>MAX(H64-H65,0)*H66</f>
        <v/>
      </c>
      <c r="I69" s="6">
        <f>MAX(I64-I65,0)*I66</f>
        <v/>
      </c>
      <c r="J69" s="6">
        <f>MAX(J64-J65,0)*J66</f>
        <v/>
      </c>
      <c r="K69" s="6">
        <f>MAX(K64-K65,0)*K66</f>
        <v/>
      </c>
      <c r="L69" s="6">
        <f>MAX(L64-L65,0)*L66</f>
        <v/>
      </c>
      <c r="M69" s="6">
        <f>MAX(M64-M65,0)*M66</f>
        <v/>
      </c>
      <c r="N69" s="6">
        <f>MAX(N64-N65,0)*N66</f>
        <v/>
      </c>
      <c r="O69" s="6">
        <f>MAX(O64-O65,0)*O66</f>
        <v/>
      </c>
      <c r="P69" s="6">
        <f>MAX(P64-P65,0)*P66</f>
        <v/>
      </c>
      <c r="Q69" s="6">
        <f>MAX(Q64-Q65,0)*Q66</f>
        <v/>
      </c>
      <c r="R69" s="6">
        <f>MAX(R64-R65,0)*R66</f>
        <v/>
      </c>
      <c r="S69" s="6">
        <f>MAX(S64-S65,0)*S66</f>
        <v/>
      </c>
      <c r="T69" s="6">
        <f>MAX(T64-T65,0)*T66</f>
        <v/>
      </c>
      <c r="U69" s="6">
        <f>MAX(U64-U65,0)*U66</f>
        <v/>
      </c>
      <c r="V69" s="6">
        <f>MAX(V64-V65,0)*V66</f>
        <v/>
      </c>
      <c r="W69" s="6">
        <f>MAX(W64-W65,0)*W66</f>
        <v/>
      </c>
      <c r="X69" s="6">
        <f>MAX(X64-X65,0)*X66</f>
        <v/>
      </c>
      <c r="Y69" s="6">
        <f>MAX(Y64-Y65,0)*Y66</f>
        <v/>
      </c>
    </row>
    <row r="70">
      <c r="A70" t="inlineStr">
        <is>
          <t>Fixed cloud cost</t>
        </is>
      </c>
      <c r="B70" s="5" t="n">
        <v>25000</v>
      </c>
      <c r="C70" s="5" t="n">
        <v>25000</v>
      </c>
      <c r="D70" s="5" t="n">
        <v>25000</v>
      </c>
      <c r="E70" s="5" t="n">
        <v>25000</v>
      </c>
      <c r="F70" s="5" t="n">
        <v>25000</v>
      </c>
      <c r="G70" s="5" t="n">
        <v>25000</v>
      </c>
      <c r="H70" s="5" t="n">
        <v>25000</v>
      </c>
      <c r="I70" s="5" t="n">
        <v>25000</v>
      </c>
      <c r="J70" s="5" t="n">
        <v>25000</v>
      </c>
      <c r="K70" s="5" t="n">
        <v>25000</v>
      </c>
      <c r="L70" s="5" t="n">
        <v>25000</v>
      </c>
      <c r="M70" s="5" t="n">
        <v>25000</v>
      </c>
      <c r="N70" s="5" t="n">
        <v>25000</v>
      </c>
      <c r="O70" s="5" t="n">
        <v>25000</v>
      </c>
      <c r="P70" s="5" t="n">
        <v>25000</v>
      </c>
      <c r="Q70" s="5" t="n">
        <v>25000</v>
      </c>
      <c r="R70" s="5" t="n">
        <v>28000</v>
      </c>
      <c r="S70" s="5" t="n">
        <v>28000</v>
      </c>
      <c r="T70" s="5" t="n">
        <v>28000</v>
      </c>
      <c r="U70" s="5" t="n">
        <v>28000</v>
      </c>
      <c r="V70" s="5" t="n">
        <v>28000</v>
      </c>
      <c r="W70" s="5" t="n">
        <v>28000</v>
      </c>
      <c r="X70" s="5" t="n">
        <v>28000</v>
      </c>
      <c r="Y70" s="5" t="n">
        <v>28000</v>
      </c>
    </row>
    <row r="71">
      <c r="A71" t="inlineStr">
        <is>
          <t>Cloud hosting total</t>
        </is>
      </c>
      <c r="B71" s="6">
        <f>B68+B69+B70</f>
        <v/>
      </c>
      <c r="C71" s="6">
        <f>C68+C69+C70</f>
        <v/>
      </c>
      <c r="D71" s="6">
        <f>D68+D69+D70</f>
        <v/>
      </c>
      <c r="E71" s="6">
        <f>E68+E69+E70</f>
        <v/>
      </c>
      <c r="F71" s="6">
        <f>F68+F69+F70</f>
        <v/>
      </c>
      <c r="G71" s="6">
        <f>G68+G69+G70</f>
        <v/>
      </c>
      <c r="H71" s="6">
        <f>H68+H69+H70</f>
        <v/>
      </c>
      <c r="I71" s="6">
        <f>I68+I69+I70</f>
        <v/>
      </c>
      <c r="J71" s="6">
        <f>J68+J69+J70</f>
        <v/>
      </c>
      <c r="K71" s="6">
        <f>K68+K69+K70</f>
        <v/>
      </c>
      <c r="L71" s="6">
        <f>L68+L69+L70</f>
        <v/>
      </c>
      <c r="M71" s="6">
        <f>M68+M69+M70</f>
        <v/>
      </c>
      <c r="N71" s="6">
        <f>N68+N69+N70</f>
        <v/>
      </c>
      <c r="O71" s="6">
        <f>O68+O69+O70</f>
        <v/>
      </c>
      <c r="P71" s="6">
        <f>P68+P69+P70</f>
        <v/>
      </c>
      <c r="Q71" s="6">
        <f>Q68+Q69+Q70</f>
        <v/>
      </c>
      <c r="R71" s="6">
        <f>R68+R69+R70</f>
        <v/>
      </c>
      <c r="S71" s="6">
        <f>S68+S69+S70</f>
        <v/>
      </c>
      <c r="T71" s="6">
        <f>T68+T69+T70</f>
        <v/>
      </c>
      <c r="U71" s="6">
        <f>U68+U69+U70</f>
        <v/>
      </c>
      <c r="V71" s="6">
        <f>V68+V69+V70</f>
        <v/>
      </c>
      <c r="W71" s="6">
        <f>W68+W69+W70</f>
        <v/>
      </c>
      <c r="X71" s="6">
        <f>X68+X69+X70</f>
        <v/>
      </c>
      <c r="Y71" s="6">
        <f>Y68+Y69+Y70</f>
        <v/>
      </c>
    </row>
    <row r="72">
      <c r="A72" s="2" t="inlineStr">
        <is>
          <t>Shaded yellow: values from the model. Shaded blue: Excel formulas.</t>
        </is>
      </c>
    </row>
    <row r="74">
      <c r="A74" s="1" t="inlineStr">
        <is>
          <t>Actuals: cash</t>
        </is>
      </c>
    </row>
    <row r="75">
      <c r="A75" s="2" t="inlineStr">
        <is>
          <t>USD, monthly</t>
        </is>
      </c>
      <c r="B75" s="4" t="inlineStr">
        <is>
          <t>2024-09</t>
        </is>
      </c>
      <c r="C75" s="4" t="inlineStr">
        <is>
          <t>2024-10</t>
        </is>
      </c>
      <c r="D75" s="4" t="inlineStr">
        <is>
          <t>2024-11</t>
        </is>
      </c>
      <c r="E75" s="4" t="inlineStr">
        <is>
          <t>2024-12</t>
        </is>
      </c>
      <c r="F75" s="4" t="inlineStr">
        <is>
          <t>2025-01</t>
        </is>
      </c>
      <c r="G75" s="4" t="inlineStr">
        <is>
          <t>2025-02</t>
        </is>
      </c>
      <c r="H75" s="4" t="inlineStr">
        <is>
          <t>2025-03</t>
        </is>
      </c>
      <c r="I75" s="4" t="inlineStr">
        <is>
          <t>2025-04</t>
        </is>
      </c>
      <c r="J75" s="4" t="inlineStr">
        <is>
          <t>2025-05</t>
        </is>
      </c>
      <c r="K75" s="4" t="inlineStr">
        <is>
          <t>2025-06</t>
        </is>
      </c>
      <c r="L75" s="4" t="inlineStr">
        <is>
          <t>2025-07</t>
        </is>
      </c>
      <c r="M75" s="4" t="inlineStr">
        <is>
          <t>2025-08</t>
        </is>
      </c>
      <c r="N75" s="4" t="inlineStr">
        <is>
          <t>2025-09</t>
        </is>
      </c>
      <c r="O75" s="4" t="inlineStr">
        <is>
          <t>2025-10</t>
        </is>
      </c>
      <c r="P75" s="4" t="inlineStr">
        <is>
          <t>2025-11</t>
        </is>
      </c>
      <c r="Q75" s="4" t="inlineStr">
        <is>
          <t>2025-12</t>
        </is>
      </c>
      <c r="R75" s="4" t="inlineStr">
        <is>
          <t>2026-01</t>
        </is>
      </c>
      <c r="S75" s="4" t="inlineStr">
        <is>
          <t>2026-02</t>
        </is>
      </c>
      <c r="T75" s="4" t="inlineStr">
        <is>
          <t>2026-03</t>
        </is>
      </c>
      <c r="U75" s="4" t="inlineStr">
        <is>
          <t>2026-04</t>
        </is>
      </c>
      <c r="V75" s="4" t="inlineStr">
        <is>
          <t>2026-05</t>
        </is>
      </c>
      <c r="W75" s="4" t="inlineStr">
        <is>
          <t>2026-06</t>
        </is>
      </c>
      <c r="X75" s="4" t="inlineStr">
        <is>
          <t>2026-07</t>
        </is>
      </c>
      <c r="Y75" s="4" t="inlineStr">
        <is>
          <t>2026-08</t>
        </is>
      </c>
    </row>
    <row r="76">
      <c r="A76" t="inlineStr">
        <is>
          <t>Opening cash</t>
        </is>
      </c>
      <c r="B76" s="6">
        <f>21000000.0</f>
        <v/>
      </c>
      <c r="C76" s="6">
        <f>B83</f>
        <v/>
      </c>
      <c r="D76" s="6">
        <f>C83</f>
        <v/>
      </c>
      <c r="E76" s="6">
        <f>D83</f>
        <v/>
      </c>
      <c r="F76" s="6">
        <f>E83</f>
        <v/>
      </c>
      <c r="G76" s="6">
        <f>F83</f>
        <v/>
      </c>
      <c r="H76" s="6">
        <f>G83</f>
        <v/>
      </c>
      <c r="I76" s="6">
        <f>H83</f>
        <v/>
      </c>
      <c r="J76" s="6">
        <f>I83</f>
        <v/>
      </c>
      <c r="K76" s="6">
        <f>J83</f>
        <v/>
      </c>
      <c r="L76" s="6">
        <f>K83</f>
        <v/>
      </c>
      <c r="M76" s="6">
        <f>L83</f>
        <v/>
      </c>
      <c r="N76" s="6">
        <f>M83</f>
        <v/>
      </c>
      <c r="O76" s="6">
        <f>N83</f>
        <v/>
      </c>
      <c r="P76" s="6">
        <f>O83</f>
        <v/>
      </c>
      <c r="Q76" s="6">
        <f>P83</f>
        <v/>
      </c>
      <c r="R76" s="6">
        <f>Q83</f>
        <v/>
      </c>
      <c r="S76" s="6">
        <f>R83</f>
        <v/>
      </c>
      <c r="T76" s="6">
        <f>S83</f>
        <v/>
      </c>
      <c r="U76" s="6">
        <f>T83</f>
        <v/>
      </c>
      <c r="V76" s="6">
        <f>U83</f>
        <v/>
      </c>
      <c r="W76" s="6">
        <f>V83</f>
        <v/>
      </c>
      <c r="X76" s="6">
        <f>W83</f>
        <v/>
      </c>
      <c r="Y76" s="6">
        <f>X83</f>
        <v/>
      </c>
    </row>
    <row r="77">
      <c r="A77" t="inlineStr">
        <is>
          <t>EBITDA</t>
        </is>
      </c>
      <c r="B77" s="5" t="n">
        <v>-912715.5921853024</v>
      </c>
      <c r="C77" s="5" t="n">
        <v>-916724.767098383</v>
      </c>
      <c r="D77" s="5" t="n">
        <v>-913992.6710498658</v>
      </c>
      <c r="E77" s="5" t="n">
        <v>-917685.0345479695</v>
      </c>
      <c r="F77" s="5" t="n">
        <v>-878605.2076119642</v>
      </c>
      <c r="G77" s="5" t="n">
        <v>-892330.4599261504</v>
      </c>
      <c r="H77" s="5" t="n">
        <v>-971840.7067306479</v>
      </c>
      <c r="I77" s="5" t="n">
        <v>-908898.1754472675</v>
      </c>
      <c r="J77" s="5" t="n">
        <v>-938243.8945644607</v>
      </c>
      <c r="K77" s="5" t="n">
        <v>-930976.3327905084</v>
      </c>
      <c r="L77" s="5" t="n">
        <v>-948299.4720633907</v>
      </c>
      <c r="M77" s="5" t="n">
        <v>-860130.3373285572</v>
      </c>
      <c r="N77" s="5" t="n">
        <v>-1014302.864759655</v>
      </c>
      <c r="O77" s="5" t="n">
        <v>-985674.4022954758</v>
      </c>
      <c r="P77" s="5" t="n">
        <v>-962876.7219660853</v>
      </c>
      <c r="Q77" s="5" t="n">
        <v>-971291.9329972493</v>
      </c>
      <c r="R77" s="5" t="n">
        <v>-799686.5123683992</v>
      </c>
      <c r="S77" s="5" t="n">
        <v>-819616.2237082815</v>
      </c>
      <c r="T77" s="5" t="n">
        <v>-932059.890613867</v>
      </c>
      <c r="U77" s="5" t="n">
        <v>-859335.3505294367</v>
      </c>
      <c r="V77" s="5" t="n">
        <v>-1071683.205637723</v>
      </c>
      <c r="W77" s="5" t="n">
        <v>-813918.0255741226</v>
      </c>
      <c r="X77" s="5" t="n">
        <v>-761394.0755457268</v>
      </c>
      <c r="Y77" s="5" t="n">
        <v>-770720.0757671408</v>
      </c>
    </row>
    <row r="78">
      <c r="A78" t="inlineStr">
        <is>
          <t>Equipment capex</t>
        </is>
      </c>
      <c r="B78" s="5" t="n">
        <v>-0</v>
      </c>
      <c r="C78" s="5" t="n">
        <v>-3500</v>
      </c>
      <c r="D78" s="5" t="n">
        <v>-7000</v>
      </c>
      <c r="E78" s="5" t="n">
        <v>-0</v>
      </c>
      <c r="F78" s="5" t="n">
        <v>-14000</v>
      </c>
      <c r="G78" s="5" t="n">
        <v>-7000</v>
      </c>
      <c r="H78" s="5" t="n">
        <v>-10500</v>
      </c>
      <c r="I78" s="5" t="n">
        <v>-10500</v>
      </c>
      <c r="J78" s="5" t="n">
        <v>-10500</v>
      </c>
      <c r="K78" s="5" t="n">
        <v>-7000</v>
      </c>
      <c r="L78" s="5" t="n">
        <v>-17500</v>
      </c>
      <c r="M78" s="5" t="n">
        <v>-7000</v>
      </c>
      <c r="N78" s="5" t="n">
        <v>-14000</v>
      </c>
      <c r="O78" s="5" t="n">
        <v>-14000</v>
      </c>
      <c r="P78" s="5" t="n">
        <v>-7000</v>
      </c>
      <c r="Q78" s="5" t="n">
        <v>-3500</v>
      </c>
      <c r="R78" s="5" t="n">
        <v>-7000</v>
      </c>
      <c r="S78" s="5" t="n">
        <v>-3500</v>
      </c>
      <c r="T78" s="5" t="n">
        <v>-17500</v>
      </c>
      <c r="U78" s="5" t="n">
        <v>-10500</v>
      </c>
      <c r="V78" s="5" t="n">
        <v>-14000</v>
      </c>
      <c r="W78" s="5" t="n">
        <v>-7000</v>
      </c>
      <c r="X78" s="5" t="n">
        <v>-10500</v>
      </c>
      <c r="Y78" s="5" t="n">
        <v>-7000</v>
      </c>
    </row>
    <row r="79">
      <c r="A79" t="inlineStr">
        <is>
          <t>Change in receivables</t>
        </is>
      </c>
      <c r="B79" s="5" t="n">
        <v>-38913.00081011537</v>
      </c>
      <c r="C79" s="5" t="n">
        <v>-41051.2902117453</v>
      </c>
      <c r="D79" s="5" t="n">
        <v>-40157.49454052467</v>
      </c>
      <c r="E79" s="5" t="n">
        <v>-50394.83719115937</v>
      </c>
      <c r="F79" s="5" t="n">
        <v>-116317.3760323285</v>
      </c>
      <c r="G79" s="5" t="n">
        <v>-42698.03917398187</v>
      </c>
      <c r="H79" s="5" t="n">
        <v>-54152.32714961935</v>
      </c>
      <c r="I79" s="5" t="n">
        <v>-43040.22701415722</v>
      </c>
      <c r="J79" s="5" t="n">
        <v>-53920.47316450602</v>
      </c>
      <c r="K79" s="5" t="n">
        <v>-59109.89504799177</v>
      </c>
      <c r="L79" s="5" t="n">
        <v>-55002.38323008898</v>
      </c>
      <c r="M79" s="5" t="n">
        <v>-47738.18846302573</v>
      </c>
      <c r="N79" s="5" t="n">
        <v>-68131.47966185119</v>
      </c>
      <c r="O79" s="5" t="n">
        <v>-62799.36561455205</v>
      </c>
      <c r="P79" s="5" t="n">
        <v>-69726.35995669384</v>
      </c>
      <c r="Q79" s="5" t="n">
        <v>-78021.30614474881</v>
      </c>
      <c r="R79" s="5" t="n">
        <v>-176337.9251483325</v>
      </c>
      <c r="S79" s="5" t="n">
        <v>-54348.68126521911</v>
      </c>
      <c r="T79" s="5" t="n">
        <v>-64014.89791633887</v>
      </c>
      <c r="U79" s="5" t="n">
        <v>-60209.24504904868</v>
      </c>
      <c r="V79" s="5" t="n">
        <v>-70009.41126509337</v>
      </c>
      <c r="W79" s="5" t="n">
        <v>-66044.58741323138</v>
      </c>
      <c r="X79" s="5" t="n">
        <v>-53939.40298513183</v>
      </c>
      <c r="Y79" s="5" t="n">
        <v>-62381.34949224768</v>
      </c>
    </row>
    <row r="80">
      <c r="A80" t="inlineStr">
        <is>
          <t>Change in deferred revenue</t>
        </is>
      </c>
      <c r="B80" s="5" t="n">
        <v>57072.40118816914</v>
      </c>
      <c r="C80" s="5" t="n">
        <v>60208.55897722673</v>
      </c>
      <c r="D80" s="5" t="n">
        <v>58897.65865943581</v>
      </c>
      <c r="E80" s="5" t="n">
        <v>73912.42788036773</v>
      </c>
      <c r="F80" s="5" t="n">
        <v>170598.8181807483</v>
      </c>
      <c r="G80" s="5" t="n">
        <v>62623.79078850662</v>
      </c>
      <c r="H80" s="5" t="n">
        <v>79423.4131527748</v>
      </c>
      <c r="I80" s="5" t="n">
        <v>63125.66628743103</v>
      </c>
      <c r="J80" s="5" t="n">
        <v>79083.36064127553</v>
      </c>
      <c r="K80" s="5" t="n">
        <v>86694.51273705438</v>
      </c>
      <c r="L80" s="5" t="n">
        <v>80670.16207079729</v>
      </c>
      <c r="M80" s="5" t="n">
        <v>70016.00974577107</v>
      </c>
      <c r="N80" s="5" t="n">
        <v>99926.17017071508</v>
      </c>
      <c r="O80" s="5" t="n">
        <v>92105.7362346747</v>
      </c>
      <c r="P80" s="5" t="n">
        <v>102265.3279364863</v>
      </c>
      <c r="Q80" s="5" t="n">
        <v>114431.2490122975</v>
      </c>
      <c r="R80" s="5" t="n">
        <v>258628.9568842216</v>
      </c>
      <c r="S80" s="5" t="n">
        <v>79711.39918898791</v>
      </c>
      <c r="T80" s="5" t="n">
        <v>93888.51694396324</v>
      </c>
      <c r="U80" s="5" t="n">
        <v>88306.89273860492</v>
      </c>
      <c r="V80" s="5" t="n">
        <v>102680.4698554697</v>
      </c>
      <c r="W80" s="5" t="n">
        <v>96865.39487274038</v>
      </c>
      <c r="X80" s="5" t="n">
        <v>79111.12437819224</v>
      </c>
      <c r="Y80" s="5" t="n">
        <v>91492.64592196327</v>
      </c>
    </row>
    <row r="81">
      <c r="A81" t="inlineStr">
        <is>
          <t>Financing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25000000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</row>
    <row r="82">
      <c r="A82" t="inlineStr">
        <is>
          <t>Net cash flow</t>
        </is>
      </c>
      <c r="B82" s="6">
        <f>B77+B78+B79+B80+B81</f>
        <v/>
      </c>
      <c r="C82" s="6">
        <f>C77+C78+C79+C80+C81</f>
        <v/>
      </c>
      <c r="D82" s="6">
        <f>D77+D78+D79+D80+D81</f>
        <v/>
      </c>
      <c r="E82" s="6">
        <f>E77+E78+E79+E80+E81</f>
        <v/>
      </c>
      <c r="F82" s="6">
        <f>F77+F78+F79+F80+F81</f>
        <v/>
      </c>
      <c r="G82" s="6">
        <f>G77+G78+G79+G80+G81</f>
        <v/>
      </c>
      <c r="H82" s="6">
        <f>H77+H78+H79+H80+H81</f>
        <v/>
      </c>
      <c r="I82" s="6">
        <f>I77+I78+I79+I80+I81</f>
        <v/>
      </c>
      <c r="J82" s="6">
        <f>J77+J78+J79+J80+J81</f>
        <v/>
      </c>
      <c r="K82" s="6">
        <f>K77+K78+K79+K80+K81</f>
        <v/>
      </c>
      <c r="L82" s="6">
        <f>L77+L78+L79+L80+L81</f>
        <v/>
      </c>
      <c r="M82" s="6">
        <f>M77+M78+M79+M80+M81</f>
        <v/>
      </c>
      <c r="N82" s="6">
        <f>N77+N78+N79+N80+N81</f>
        <v/>
      </c>
      <c r="O82" s="6">
        <f>O77+O78+O79+O80+O81</f>
        <v/>
      </c>
      <c r="P82" s="6">
        <f>P77+P78+P79+P80+P81</f>
        <v/>
      </c>
      <c r="Q82" s="6">
        <f>Q77+Q78+Q79+Q80+Q81</f>
        <v/>
      </c>
      <c r="R82" s="6">
        <f>R77+R78+R79+R80+R81</f>
        <v/>
      </c>
      <c r="S82" s="6">
        <f>S77+S78+S79+S80+S81</f>
        <v/>
      </c>
      <c r="T82" s="6">
        <f>T77+T78+T79+T80+T81</f>
        <v/>
      </c>
      <c r="U82" s="6">
        <f>U77+U78+U79+U80+U81</f>
        <v/>
      </c>
      <c r="V82" s="6">
        <f>V77+V78+V79+V80+V81</f>
        <v/>
      </c>
      <c r="W82" s="6">
        <f>W77+W78+W79+W80+W81</f>
        <v/>
      </c>
      <c r="X82" s="6">
        <f>X77+X78+X79+X80+X81</f>
        <v/>
      </c>
      <c r="Y82" s="6">
        <f>Y77+Y78+Y79+Y80+Y81</f>
        <v/>
      </c>
    </row>
    <row r="83">
      <c r="A83" t="inlineStr">
        <is>
          <t>Closing cash</t>
        </is>
      </c>
      <c r="B83" s="6">
        <f>B76+B82</f>
        <v/>
      </c>
      <c r="C83" s="6">
        <f>C76+C82</f>
        <v/>
      </c>
      <c r="D83" s="6">
        <f>D76+D82</f>
        <v/>
      </c>
      <c r="E83" s="6">
        <f>E76+E82</f>
        <v/>
      </c>
      <c r="F83" s="6">
        <f>F76+F82</f>
        <v/>
      </c>
      <c r="G83" s="6">
        <f>G76+G82</f>
        <v/>
      </c>
      <c r="H83" s="6">
        <f>H76+H82</f>
        <v/>
      </c>
      <c r="I83" s="6">
        <f>I76+I82</f>
        <v/>
      </c>
      <c r="J83" s="6">
        <f>J76+J82</f>
        <v/>
      </c>
      <c r="K83" s="6">
        <f>K76+K82</f>
        <v/>
      </c>
      <c r="L83" s="6">
        <f>L76+L82</f>
        <v/>
      </c>
      <c r="M83" s="6">
        <f>M76+M82</f>
        <v/>
      </c>
      <c r="N83" s="6">
        <f>N76+N82</f>
        <v/>
      </c>
      <c r="O83" s="6">
        <f>O76+O82</f>
        <v/>
      </c>
      <c r="P83" s="6">
        <f>P76+P82</f>
        <v/>
      </c>
      <c r="Q83" s="6">
        <f>Q76+Q82</f>
        <v/>
      </c>
      <c r="R83" s="6">
        <f>R76+R82</f>
        <v/>
      </c>
      <c r="S83" s="6">
        <f>S76+S82</f>
        <v/>
      </c>
      <c r="T83" s="6">
        <f>T76+T82</f>
        <v/>
      </c>
      <c r="U83" s="6">
        <f>U76+U82</f>
        <v/>
      </c>
      <c r="V83" s="6">
        <f>V76+V82</f>
        <v/>
      </c>
      <c r="W83" s="6">
        <f>W76+W82</f>
        <v/>
      </c>
      <c r="X83" s="6">
        <f>X76+X82</f>
        <v/>
      </c>
      <c r="Y83" s="6">
        <f>Y76+Y82</f>
        <v/>
      </c>
    </row>
    <row r="84">
      <c r="A84" t="inlineStr">
        <is>
          <t>Receivables</t>
        </is>
      </c>
      <c r="B84" s="5" t="n">
        <v>1541963.000810115</v>
      </c>
      <c r="C84" s="5" t="n">
        <v>1583014.291021861</v>
      </c>
      <c r="D84" s="5" t="n">
        <v>1623171.785562385</v>
      </c>
      <c r="E84" s="5" t="n">
        <v>1673566.622753545</v>
      </c>
      <c r="F84" s="5" t="n">
        <v>1789883.998785873</v>
      </c>
      <c r="G84" s="5" t="n">
        <v>1832582.037959855</v>
      </c>
      <c r="H84" s="5" t="n">
        <v>1886734.365109474</v>
      </c>
      <c r="I84" s="5" t="n">
        <v>1929774.592123632</v>
      </c>
      <c r="J84" s="5" t="n">
        <v>1983695.065288138</v>
      </c>
      <c r="K84" s="5" t="n">
        <v>2042804.960336129</v>
      </c>
      <c r="L84" s="5" t="n">
        <v>2097807.343566218</v>
      </c>
      <c r="M84" s="5" t="n">
        <v>2145545.532029244</v>
      </c>
      <c r="N84" s="5" t="n">
        <v>2213677.011691095</v>
      </c>
      <c r="O84" s="5" t="n">
        <v>2276476.377305647</v>
      </c>
      <c r="P84" s="5" t="n">
        <v>2346202.737262341</v>
      </c>
      <c r="Q84" s="5" t="n">
        <v>2424224.04340709</v>
      </c>
      <c r="R84" s="5" t="n">
        <v>2600561.968555422</v>
      </c>
      <c r="S84" s="5" t="n">
        <v>2654910.649820642</v>
      </c>
      <c r="T84" s="5" t="n">
        <v>2718925.54773698</v>
      </c>
      <c r="U84" s="5" t="n">
        <v>2779134.792786029</v>
      </c>
      <c r="V84" s="5" t="n">
        <v>2849144.204051123</v>
      </c>
      <c r="W84" s="5" t="n">
        <v>2915188.791464354</v>
      </c>
      <c r="X84" s="5" t="n">
        <v>2969128.194449486</v>
      </c>
      <c r="Y84" s="5" t="n">
        <v>3031509.543941733</v>
      </c>
    </row>
    <row r="85">
      <c r="A85" t="inlineStr">
        <is>
          <t>Deferred revenue</t>
        </is>
      </c>
      <c r="B85" s="5" t="n">
        <v>2261545.734521503</v>
      </c>
      <c r="C85" s="5" t="n">
        <v>2321754.293498729</v>
      </c>
      <c r="D85" s="5" t="n">
        <v>2380651.952158165</v>
      </c>
      <c r="E85" s="5" t="n">
        <v>2454564.380038533</v>
      </c>
      <c r="F85" s="5" t="n">
        <v>2625163.198219281</v>
      </c>
      <c r="G85" s="5" t="n">
        <v>2687786.989007788</v>
      </c>
      <c r="H85" s="5" t="n">
        <v>2767210.402160563</v>
      </c>
      <c r="I85" s="5" t="n">
        <v>2830336.068447994</v>
      </c>
      <c r="J85" s="5" t="n">
        <v>2909419.429089269</v>
      </c>
      <c r="K85" s="5" t="n">
        <v>2996113.941826324</v>
      </c>
      <c r="L85" s="5" t="n">
        <v>3076784.103897121</v>
      </c>
      <c r="M85" s="5" t="n">
        <v>3146800.113642892</v>
      </c>
      <c r="N85" s="5" t="n">
        <v>3246726.283813607</v>
      </c>
      <c r="O85" s="5" t="n">
        <v>3338832.020048282</v>
      </c>
      <c r="P85" s="5" t="n">
        <v>3441097.347984768</v>
      </c>
      <c r="Q85" s="5" t="n">
        <v>3555528.596997065</v>
      </c>
      <c r="R85" s="5" t="n">
        <v>3814157.553881287</v>
      </c>
      <c r="S85" s="5" t="n">
        <v>3893868.953070275</v>
      </c>
      <c r="T85" s="5" t="n">
        <v>3987757.470014238</v>
      </c>
      <c r="U85" s="5" t="n">
        <v>4076064.362752843</v>
      </c>
      <c r="V85" s="5" t="n">
        <v>4178744.832608313</v>
      </c>
      <c r="W85" s="5" t="n">
        <v>4275610.227481053</v>
      </c>
      <c r="X85" s="5" t="n">
        <v>4354721.351859245</v>
      </c>
      <c r="Y85" s="5" t="n">
        <v>4446213.997781209</v>
      </c>
    </row>
    <row r="86">
      <c r="A86" t="inlineStr">
        <is>
          <t>Net burn, trailing 3 months</t>
        </is>
      </c>
      <c r="B86" s="5" t="n">
        <v>894556.1918072486</v>
      </c>
      <c r="C86" s="5" t="n">
        <v>897811.8450700751</v>
      </c>
      <c r="D86" s="5" t="n">
        <v>899292.0656903683</v>
      </c>
      <c r="E86" s="5" t="n">
        <v>899162.4830408725</v>
      </c>
      <c r="F86" s="5" t="n">
        <v>878247.9054177534</v>
      </c>
      <c r="G86" s="5" t="n">
        <v>870631.9725446437</v>
      </c>
      <c r="H86" s="5" t="n">
        <v>891599.364834221</v>
      </c>
      <c r="I86" s="5" t="n">
        <v>911929.0217377039</v>
      </c>
      <c r="J86" s="5" t="n">
        <v>926654.4546630591</v>
      </c>
      <c r="K86" s="5" t="n">
        <v>911095.1527877102</v>
      </c>
      <c r="L86" s="5" t="n">
        <v>924701.4718039399</v>
      </c>
      <c r="M86" s="5" t="n">
        <v>898458.6414566467</v>
      </c>
      <c r="N86" s="5" t="n">
        <v>927164.1278397617</v>
      </c>
      <c r="O86" s="5" t="n">
        <v>937242.9073239854</v>
      </c>
      <c r="P86" s="5" t="n">
        <v>968071.3199708123</v>
      </c>
      <c r="Q86" s="5" t="n">
        <v>948695.9252637821</v>
      </c>
      <c r="R86" s="5" t="n">
        <v>866705.0749161678</v>
      </c>
      <c r="S86" s="5" t="n">
        <v>820176.9921822412</v>
      </c>
      <c r="T86" s="5" t="n">
        <v>813945.0860010885</v>
      </c>
      <c r="U86" s="5" t="n">
        <v>853059.1600702121</v>
      </c>
      <c r="V86" s="5" t="n">
        <v>938145.3738244899</v>
      </c>
      <c r="W86" s="5" t="n">
        <v>894949.02266728</v>
      </c>
      <c r="X86" s="5" t="n">
        <v>863277.2397715421</v>
      </c>
      <c r="Y86" s="5" t="n">
        <v>761809.4505349017</v>
      </c>
    </row>
    <row r="87">
      <c r="A87" t="inlineStr">
        <is>
          <t>Runway (months)</t>
        </is>
      </c>
      <c r="B87" s="8" t="n">
        <v>22.47532798087759</v>
      </c>
      <c r="C87" s="8" t="n">
        <v>21.39020153867644</v>
      </c>
      <c r="D87" s="8" t="n">
        <v>20.35170163419459</v>
      </c>
      <c r="E87" s="8" t="n">
        <v>19.36018982931568</v>
      </c>
      <c r="F87" s="8" t="n">
        <v>18.86669184337532</v>
      </c>
      <c r="G87" s="8" t="n">
        <v>18.0216536723735</v>
      </c>
      <c r="H87" s="8" t="n">
        <v>16.52441538841481</v>
      </c>
      <c r="I87" s="8" t="n">
        <v>15.16987089854069</v>
      </c>
      <c r="J87" s="8" t="n">
        <v>13.93212373429974</v>
      </c>
      <c r="K87" s="8" t="n">
        <v>13.17082279440068</v>
      </c>
      <c r="L87" s="8" t="n">
        <v>11.96033687651208</v>
      </c>
      <c r="M87" s="8" t="n">
        <v>11.36934759776446</v>
      </c>
      <c r="N87" s="8" t="n">
        <v>9.942555094493727</v>
      </c>
      <c r="O87" s="8" t="n">
        <v>8.800293207402779</v>
      </c>
      <c r="P87" s="8" t="n">
        <v>7.551793433198524</v>
      </c>
      <c r="Q87" s="8" t="n">
        <v>6.716896823523207</v>
      </c>
      <c r="R87" s="8" t="n">
        <v>6.51651562881121</v>
      </c>
      <c r="S87" s="8" t="n">
        <v>5.913532940703359</v>
      </c>
      <c r="T87" s="8" t="n">
        <v>35.5435002759532</v>
      </c>
      <c r="U87" s="8" t="n">
        <v>32.92704773692212</v>
      </c>
      <c r="V87" s="8" t="n">
        <v>28.81824959471698</v>
      </c>
      <c r="W87" s="8" t="n">
        <v>29.32637463826369</v>
      </c>
      <c r="X87" s="8" t="n">
        <v>29.53731060196139</v>
      </c>
      <c r="Y87" s="8" t="n">
        <v>32.48880565871189</v>
      </c>
    </row>
    <row r="88">
      <c r="A88" s="2" t="inlineStr">
        <is>
          <t>Shaded yellow: values from the model. Shaded blue: Excel formulas.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Budget FY2026: P&amp;L</t>
        </is>
      </c>
    </row>
    <row r="2">
      <c r="A2" s="2" t="inlineStr">
        <is>
          <t>USD, monthly</t>
        </is>
      </c>
      <c r="B2" s="4" t="inlineStr">
        <is>
          <t>2026-01</t>
        </is>
      </c>
      <c r="C2" s="4" t="inlineStr">
        <is>
          <t>2026-02</t>
        </is>
      </c>
      <c r="D2" s="4" t="inlineStr">
        <is>
          <t>2026-03</t>
        </is>
      </c>
      <c r="E2" s="4" t="inlineStr">
        <is>
          <t>2026-04</t>
        </is>
      </c>
      <c r="F2" s="4" t="inlineStr">
        <is>
          <t>2026-05</t>
        </is>
      </c>
      <c r="G2" s="4" t="inlineStr">
        <is>
          <t>2026-06</t>
        </is>
      </c>
      <c r="H2" s="4" t="inlineStr">
        <is>
          <t>2026-07</t>
        </is>
      </c>
      <c r="I2" s="4" t="inlineStr">
        <is>
          <t>2026-08</t>
        </is>
      </c>
      <c r="J2" s="4" t="inlineStr">
        <is>
          <t>2026-09</t>
        </is>
      </c>
      <c r="K2" s="4" t="inlineStr">
        <is>
          <t>2026-10</t>
        </is>
      </c>
      <c r="L2" s="4" t="inlineStr">
        <is>
          <t>2026-11</t>
        </is>
      </c>
      <c r="M2" s="4" t="inlineStr">
        <is>
          <t>2026-12</t>
        </is>
      </c>
    </row>
    <row r="3">
      <c r="A3" t="inlineStr">
        <is>
          <t>Platform revenue</t>
        </is>
      </c>
      <c r="B3" s="5" t="n">
        <v>1614950.547671018</v>
      </c>
      <c r="C3" s="5" t="n">
        <v>1660358.513828095</v>
      </c>
      <c r="D3" s="5" t="n">
        <v>1714652.169498794</v>
      </c>
      <c r="E3" s="5" t="n">
        <v>1763407.16070124</v>
      </c>
      <c r="F3" s="5" t="n">
        <v>1816411.849152152</v>
      </c>
      <c r="G3" s="5" t="n">
        <v>1874614.694512374</v>
      </c>
      <c r="H3" s="5" t="n">
        <v>1919980.352601185</v>
      </c>
      <c r="I3" s="5" t="n">
        <v>1965383.643232464</v>
      </c>
      <c r="J3" s="5" t="n">
        <v>2021132.972623838</v>
      </c>
      <c r="K3" s="5" t="n">
        <v>2076928.548208791</v>
      </c>
      <c r="L3" s="5" t="n">
        <v>2130193.314600304</v>
      </c>
      <c r="M3" s="5" t="n">
        <v>2193810.64114569</v>
      </c>
    </row>
    <row r="4">
      <c r="A4" t="inlineStr">
        <is>
          <t>Insights revenue</t>
        </is>
      </c>
      <c r="B4" s="5" t="n">
        <v>123404.1495434253</v>
      </c>
      <c r="C4" s="5" t="n">
        <v>130574.9163691079</v>
      </c>
      <c r="D4" s="5" t="n">
        <v>138757.379988514</v>
      </c>
      <c r="E4" s="5" t="n">
        <v>146734.3626497455</v>
      </c>
      <c r="F4" s="5" t="n">
        <v>155372.6898315417</v>
      </c>
      <c r="G4" s="5" t="n">
        <v>164804.5120144588</v>
      </c>
      <c r="H4" s="5" t="n">
        <v>173285.4460179174</v>
      </c>
      <c r="I4" s="5" t="n">
        <v>182028.4027724742</v>
      </c>
      <c r="J4" s="5" t="n">
        <v>192132.3488389969</v>
      </c>
      <c r="K4" s="5" t="n">
        <v>202567.4014578986</v>
      </c>
      <c r="L4" s="5" t="n">
        <v>213046.865020712</v>
      </c>
      <c r="M4" s="5" t="n">
        <v>225055.1479486194</v>
      </c>
    </row>
    <row r="5">
      <c r="A5" t="inlineStr">
        <is>
          <t>Revenue</t>
        </is>
      </c>
      <c r="B5" s="6">
        <f>B3+B4</f>
        <v/>
      </c>
      <c r="C5" s="6">
        <f>C3+C4</f>
        <v/>
      </c>
      <c r="D5" s="6">
        <f>D3+D4</f>
        <v/>
      </c>
      <c r="E5" s="6">
        <f>E3+E4</f>
        <v/>
      </c>
      <c r="F5" s="6">
        <f>F3+F4</f>
        <v/>
      </c>
      <c r="G5" s="6">
        <f>G3+G4</f>
        <v/>
      </c>
      <c r="H5" s="6">
        <f>H3+H4</f>
        <v/>
      </c>
      <c r="I5" s="6">
        <f>I3+I4</f>
        <v/>
      </c>
      <c r="J5" s="6">
        <f>J3+J4</f>
        <v/>
      </c>
      <c r="K5" s="6">
        <f>K3+K4</f>
        <v/>
      </c>
      <c r="L5" s="6">
        <f>L3+L4</f>
        <v/>
      </c>
      <c r="M5" s="6">
        <f>M3+M4</f>
        <v/>
      </c>
    </row>
    <row r="6">
      <c r="A6" t="inlineStr">
        <is>
          <t>Cloud hosting</t>
        </is>
      </c>
      <c r="B6" s="5" t="n">
        <v>139018.6463581781</v>
      </c>
      <c r="C6" s="5" t="n">
        <v>142927.8528822654</v>
      </c>
      <c r="D6" s="5" t="n">
        <v>147536.9297876414</v>
      </c>
      <c r="E6" s="5" t="n">
        <v>151773.6070798049</v>
      </c>
      <c r="F6" s="5" t="n">
        <v>156374.9961067773</v>
      </c>
      <c r="G6" s="5" t="n">
        <v>161424.063305684</v>
      </c>
      <c r="H6" s="5" t="n">
        <v>165507.8268415358</v>
      </c>
      <c r="I6" s="5" t="n">
        <v>169624.2403875528</v>
      </c>
      <c r="J6" s="5" t="n">
        <v>174607.8997920516</v>
      </c>
      <c r="K6" s="5" t="n">
        <v>179636.3364797879</v>
      </c>
      <c r="L6" s="5" t="n">
        <v>184493.9999290589</v>
      </c>
      <c r="M6" s="5" t="n">
        <v>190258.0731562712</v>
      </c>
    </row>
    <row r="7">
      <c r="A7" t="inlineStr">
        <is>
          <t>Third-party software and data</t>
        </is>
      </c>
      <c r="B7" s="5" t="n">
        <v>52150.64091643329</v>
      </c>
      <c r="C7" s="5" t="n">
        <v>53728.00290591609</v>
      </c>
      <c r="D7" s="5" t="n">
        <v>55602.28648461925</v>
      </c>
      <c r="E7" s="5" t="n">
        <v>57304.24570052956</v>
      </c>
      <c r="F7" s="5" t="n">
        <v>59153.53616951083</v>
      </c>
      <c r="G7" s="5" t="n">
        <v>61182.57619580498</v>
      </c>
      <c r="H7" s="5" t="n">
        <v>62797.97395857309</v>
      </c>
      <c r="I7" s="5" t="n">
        <v>64422.36138014815</v>
      </c>
      <c r="J7" s="5" t="n">
        <v>66397.95964388504</v>
      </c>
      <c r="K7" s="5" t="n">
        <v>68384.87849000069</v>
      </c>
      <c r="L7" s="5" t="n">
        <v>70297.20538863048</v>
      </c>
      <c r="M7" s="5" t="n">
        <v>72565.97367282929</v>
      </c>
    </row>
    <row r="8">
      <c r="A8" t="inlineStr">
        <is>
          <t>Payment processing</t>
        </is>
      </c>
      <c r="B8" s="5" t="n">
        <v>26075.32045821665</v>
      </c>
      <c r="C8" s="5" t="n">
        <v>26864.00145295804</v>
      </c>
      <c r="D8" s="5" t="n">
        <v>27801.14324230963</v>
      </c>
      <c r="E8" s="5" t="n">
        <v>28652.12285026478</v>
      </c>
      <c r="F8" s="5" t="n">
        <v>29576.76808475541</v>
      </c>
      <c r="G8" s="5" t="n">
        <v>30591.28809790249</v>
      </c>
      <c r="H8" s="5" t="n">
        <v>31398.98697928654</v>
      </c>
      <c r="I8" s="5" t="n">
        <v>32211.18069007408</v>
      </c>
      <c r="J8" s="5" t="n">
        <v>33198.97982194252</v>
      </c>
      <c r="K8" s="5" t="n">
        <v>34192.43924500034</v>
      </c>
      <c r="L8" s="5" t="n">
        <v>35148.60269431525</v>
      </c>
      <c r="M8" s="5" t="n">
        <v>36282.98683641465</v>
      </c>
    </row>
    <row r="9">
      <c r="A9" t="inlineStr">
        <is>
          <t>Customer operations payroll</t>
        </is>
      </c>
      <c r="B9" s="5" t="n">
        <v>269286.0003197348</v>
      </c>
      <c r="C9" s="5" t="n">
        <v>269286.0003197348</v>
      </c>
      <c r="D9" s="5" t="n">
        <v>288569.4603197348</v>
      </c>
      <c r="E9" s="5" t="n">
        <v>288569.4603197348</v>
      </c>
      <c r="F9" s="5" t="n">
        <v>288569.4603197348</v>
      </c>
      <c r="G9" s="5" t="n">
        <v>288569.4603197348</v>
      </c>
      <c r="H9" s="5" t="n">
        <v>288569.4603197348</v>
      </c>
      <c r="I9" s="5" t="n">
        <v>288569.4603197348</v>
      </c>
      <c r="J9" s="5" t="n">
        <v>288569.4603197348</v>
      </c>
      <c r="K9" s="5" t="n">
        <v>288569.4603197348</v>
      </c>
      <c r="L9" s="5" t="n">
        <v>288569.4603197348</v>
      </c>
      <c r="M9" s="5" t="n">
        <v>288569.4603197348</v>
      </c>
    </row>
    <row r="10">
      <c r="A10" t="inlineStr">
        <is>
          <t>Customer operations recruiting</t>
        </is>
      </c>
      <c r="B10" s="5" t="n">
        <v>0</v>
      </c>
      <c r="C10" s="5" t="n">
        <v>0</v>
      </c>
      <c r="D10" s="5" t="n">
        <v>27000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</row>
    <row r="11">
      <c r="A11" t="inlineStr">
        <is>
          <t>Cost of revenue</t>
        </is>
      </c>
      <c r="B11" s="6">
        <f>B6+B7+B8+B9+B10</f>
        <v/>
      </c>
      <c r="C11" s="6">
        <f>C6+C7+C8+C9+C10</f>
        <v/>
      </c>
      <c r="D11" s="6">
        <f>D6+D7+D8+D9+D10</f>
        <v/>
      </c>
      <c r="E11" s="6">
        <f>E6+E7+E8+E9+E10</f>
        <v/>
      </c>
      <c r="F11" s="6">
        <f>F6+F7+F8+F9+F10</f>
        <v/>
      </c>
      <c r="G11" s="6">
        <f>G6+G7+G8+G9+G10</f>
        <v/>
      </c>
      <c r="H11" s="6">
        <f>H6+H7+H8+H9+H10</f>
        <v/>
      </c>
      <c r="I11" s="6">
        <f>I6+I7+I8+I9+I10</f>
        <v/>
      </c>
      <c r="J11" s="6">
        <f>J6+J7+J8+J9+J10</f>
        <v/>
      </c>
      <c r="K11" s="6">
        <f>K6+K7+K8+K9+K10</f>
        <v/>
      </c>
      <c r="L11" s="6">
        <f>L6+L7+L8+L9+L10</f>
        <v/>
      </c>
      <c r="M11" s="6">
        <f>M6+M7+M8+M9+M10</f>
        <v/>
      </c>
    </row>
    <row r="12">
      <c r="A12" t="inlineStr">
        <is>
          <t>Gross profit</t>
        </is>
      </c>
      <c r="B12" s="6">
        <f>B5-B11</f>
        <v/>
      </c>
      <c r="C12" s="6">
        <f>C5-C11</f>
        <v/>
      </c>
      <c r="D12" s="6">
        <f>D5-D11</f>
        <v/>
      </c>
      <c r="E12" s="6">
        <f>E5-E11</f>
        <v/>
      </c>
      <c r="F12" s="6">
        <f>F5-F11</f>
        <v/>
      </c>
      <c r="G12" s="6">
        <f>G5-G11</f>
        <v/>
      </c>
      <c r="H12" s="6">
        <f>H5-H11</f>
        <v/>
      </c>
      <c r="I12" s="6">
        <f>I5-I11</f>
        <v/>
      </c>
      <c r="J12" s="6">
        <f>J5-J11</f>
        <v/>
      </c>
      <c r="K12" s="6">
        <f>K5-K11</f>
        <v/>
      </c>
      <c r="L12" s="6">
        <f>L5-L11</f>
        <v/>
      </c>
      <c r="M12" s="6">
        <f>M5-M11</f>
        <v/>
      </c>
    </row>
    <row r="13">
      <c r="A13" t="inlineStr">
        <is>
          <t>Gross margin</t>
        </is>
      </c>
      <c r="B13" s="7">
        <f>IF(B5=0,0,B12/B5)</f>
        <v/>
      </c>
      <c r="C13" s="7">
        <f>IF(C5=0,0,C12/C5)</f>
        <v/>
      </c>
      <c r="D13" s="7">
        <f>IF(D5=0,0,D12/D5)</f>
        <v/>
      </c>
      <c r="E13" s="7">
        <f>IF(E5=0,0,E12/E5)</f>
        <v/>
      </c>
      <c r="F13" s="7">
        <f>IF(F5=0,0,F12/F5)</f>
        <v/>
      </c>
      <c r="G13" s="7">
        <f>IF(G5=0,0,G12/G5)</f>
        <v/>
      </c>
      <c r="H13" s="7">
        <f>IF(H5=0,0,H12/H5)</f>
        <v/>
      </c>
      <c r="I13" s="7">
        <f>IF(I5=0,0,I12/I5)</f>
        <v/>
      </c>
      <c r="J13" s="7">
        <f>IF(J5=0,0,J12/J5)</f>
        <v/>
      </c>
      <c r="K13" s="7">
        <f>IF(K5=0,0,K12/K5)</f>
        <v/>
      </c>
      <c r="L13" s="7">
        <f>IF(L5=0,0,L12/L5)</f>
        <v/>
      </c>
      <c r="M13" s="7">
        <f>IF(M5=0,0,M12/M5)</f>
        <v/>
      </c>
    </row>
    <row r="14">
      <c r="A14" t="inlineStr">
        <is>
          <t>R&amp;D payroll</t>
        </is>
      </c>
      <c r="B14" s="5" t="n">
        <v>868781.2852224135</v>
      </c>
      <c r="C14" s="5" t="n">
        <v>925520.3452224134</v>
      </c>
      <c r="D14" s="5" t="n">
        <v>950092.5385557468</v>
      </c>
      <c r="E14" s="5" t="n">
        <v>950092.5385557468</v>
      </c>
      <c r="F14" s="5" t="n">
        <v>950092.5385557468</v>
      </c>
      <c r="G14" s="5" t="n">
        <v>950092.5385557468</v>
      </c>
      <c r="H14" s="5" t="n">
        <v>950092.5385557468</v>
      </c>
      <c r="I14" s="5" t="n">
        <v>950092.5385557468</v>
      </c>
      <c r="J14" s="5" t="n">
        <v>950092.5385557468</v>
      </c>
      <c r="K14" s="5" t="n">
        <v>950092.5385557468</v>
      </c>
      <c r="L14" s="5" t="n">
        <v>950092.5385557468</v>
      </c>
      <c r="M14" s="5" t="n">
        <v>950092.5385557468</v>
      </c>
    </row>
    <row r="15">
      <c r="A15" t="inlineStr">
        <is>
          <t>R&amp;D recruiting</t>
        </is>
      </c>
      <c r="B15" s="5" t="n">
        <v>42750</v>
      </c>
      <c r="C15" s="5" t="n">
        <v>73500</v>
      </c>
      <c r="D15" s="5" t="n">
        <v>28500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</row>
    <row r="16">
      <c r="A16" t="inlineStr">
        <is>
          <t>R&amp;D tooling</t>
        </is>
      </c>
      <c r="B16" s="5" t="n">
        <v>29547</v>
      </c>
      <c r="C16" s="5" t="n">
        <v>31752</v>
      </c>
      <c r="D16" s="5" t="n">
        <v>32634</v>
      </c>
      <c r="E16" s="5" t="n">
        <v>32634</v>
      </c>
      <c r="F16" s="5" t="n">
        <v>32634</v>
      </c>
      <c r="G16" s="5" t="n">
        <v>32634</v>
      </c>
      <c r="H16" s="5" t="n">
        <v>32634</v>
      </c>
      <c r="I16" s="5" t="n">
        <v>32634</v>
      </c>
      <c r="J16" s="5" t="n">
        <v>32634</v>
      </c>
      <c r="K16" s="5" t="n">
        <v>32634</v>
      </c>
      <c r="L16" s="5" t="n">
        <v>32634</v>
      </c>
      <c r="M16" s="5" t="n">
        <v>32634</v>
      </c>
    </row>
    <row r="17">
      <c r="A17" t="inlineStr">
        <is>
          <t>R&amp;D contractors</t>
        </is>
      </c>
      <c r="B17" s="5" t="n">
        <v>60000</v>
      </c>
      <c r="C17" s="5" t="n">
        <v>60000</v>
      </c>
      <c r="D17" s="5" t="n">
        <v>60000</v>
      </c>
      <c r="E17" s="5" t="n">
        <v>60000</v>
      </c>
      <c r="F17" s="5" t="n">
        <v>60000</v>
      </c>
      <c r="G17" s="5" t="n">
        <v>60000</v>
      </c>
      <c r="H17" s="5" t="n">
        <v>60000</v>
      </c>
      <c r="I17" s="5" t="n">
        <v>60000</v>
      </c>
      <c r="J17" s="5" t="n">
        <v>60000</v>
      </c>
      <c r="K17" s="5" t="n">
        <v>60000</v>
      </c>
      <c r="L17" s="5" t="n">
        <v>60000</v>
      </c>
      <c r="M17" s="5" t="n">
        <v>60000</v>
      </c>
    </row>
    <row r="18">
      <c r="A18" t="inlineStr">
        <is>
          <t>R&amp;D total</t>
        </is>
      </c>
      <c r="B18" s="6">
        <f>B14+B15+B16+B17</f>
        <v/>
      </c>
      <c r="C18" s="6">
        <f>C14+C15+C16+C17</f>
        <v/>
      </c>
      <c r="D18" s="6">
        <f>D14+D15+D16+D17</f>
        <v/>
      </c>
      <c r="E18" s="6">
        <f>E14+E15+E16+E17</f>
        <v/>
      </c>
      <c r="F18" s="6">
        <f>F14+F15+F16+F17</f>
        <v/>
      </c>
      <c r="G18" s="6">
        <f>G14+G15+G16+G17</f>
        <v/>
      </c>
      <c r="H18" s="6">
        <f>H14+H15+H16+H17</f>
        <v/>
      </c>
      <c r="I18" s="6">
        <f>I14+I15+I16+I17</f>
        <v/>
      </c>
      <c r="J18" s="6">
        <f>J14+J15+J16+J17</f>
        <v/>
      </c>
      <c r="K18" s="6">
        <f>K14+K15+K16+K17</f>
        <v/>
      </c>
      <c r="L18" s="6">
        <f>L14+L15+L16+L17</f>
        <v/>
      </c>
      <c r="M18" s="6">
        <f>M14+M15+M16+M17</f>
        <v/>
      </c>
    </row>
    <row r="19">
      <c r="A19" t="inlineStr">
        <is>
          <t>Sales and marketing payroll</t>
        </is>
      </c>
      <c r="B19" s="5" t="n">
        <v>333392.346845035</v>
      </c>
      <c r="C19" s="5" t="n">
        <v>339895.0551783683</v>
      </c>
      <c r="D19" s="5" t="n">
        <v>339895.0551783683</v>
      </c>
      <c r="E19" s="5" t="n">
        <v>352750.6951783683</v>
      </c>
      <c r="F19" s="5" t="n">
        <v>352750.6951783683</v>
      </c>
      <c r="G19" s="5" t="n">
        <v>352750.6951783683</v>
      </c>
      <c r="H19" s="5" t="n">
        <v>352750.6951783683</v>
      </c>
      <c r="I19" s="5" t="n">
        <v>352750.6951783683</v>
      </c>
      <c r="J19" s="5" t="n">
        <v>352750.6951783683</v>
      </c>
      <c r="K19" s="5" t="n">
        <v>352750.6951783683</v>
      </c>
      <c r="L19" s="5" t="n">
        <v>352750.6951783683</v>
      </c>
      <c r="M19" s="5" t="n">
        <v>352750.6951783683</v>
      </c>
    </row>
    <row r="20">
      <c r="A20" t="inlineStr">
        <is>
          <t>Sales and marketing recruiting</t>
        </is>
      </c>
      <c r="B20" s="5" t="n">
        <v>33000</v>
      </c>
      <c r="C20" s="5" t="n">
        <v>9750</v>
      </c>
      <c r="D20" s="5" t="n">
        <v>0</v>
      </c>
      <c r="E20" s="5" t="n">
        <v>18000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</row>
    <row r="21">
      <c r="A21" t="inlineStr">
        <is>
          <t>Sales commission</t>
        </is>
      </c>
      <c r="B21" s="5" t="n">
        <v>64535.60410159826</v>
      </c>
      <c r="C21" s="5" t="n">
        <v>71430.2826670701</v>
      </c>
      <c r="D21" s="5" t="n">
        <v>82569.43661268386</v>
      </c>
      <c r="E21" s="5" t="n">
        <v>76492.5760689969</v>
      </c>
      <c r="F21" s="5" t="n">
        <v>82103.64936538707</v>
      </c>
      <c r="G21" s="5" t="n">
        <v>88897.45329481333</v>
      </c>
      <c r="H21" s="5" t="n">
        <v>74103.37252583545</v>
      </c>
      <c r="I21" s="5" t="n">
        <v>74624.41429725537</v>
      </c>
      <c r="J21" s="5" t="n">
        <v>87515.93829268382</v>
      </c>
      <c r="K21" s="5" t="n">
        <v>88156.24046320864</v>
      </c>
      <c r="L21" s="5" t="n">
        <v>85704.56128878859</v>
      </c>
      <c r="M21" s="5" t="n">
        <v>98686.3773119017</v>
      </c>
    </row>
    <row r="22">
      <c r="A22" t="inlineStr">
        <is>
          <t>Marketing programmes</t>
        </is>
      </c>
      <c r="B22" s="5" t="n">
        <v>353430</v>
      </c>
      <c r="C22" s="5" t="n">
        <v>395010</v>
      </c>
      <c r="D22" s="5" t="n">
        <v>474320.0000000001</v>
      </c>
      <c r="E22" s="5" t="n">
        <v>424270</v>
      </c>
      <c r="F22" s="5" t="n">
        <v>462000</v>
      </c>
      <c r="G22" s="5" t="n">
        <v>508200.0000000001</v>
      </c>
      <c r="H22" s="5" t="n">
        <v>392700</v>
      </c>
      <c r="I22" s="5" t="n">
        <v>392700</v>
      </c>
      <c r="J22" s="5" t="n">
        <v>485100</v>
      </c>
      <c r="K22" s="5" t="n">
        <v>485100</v>
      </c>
      <c r="L22" s="5" t="n">
        <v>462000</v>
      </c>
      <c r="M22" s="5" t="n">
        <v>554400</v>
      </c>
    </row>
    <row r="23">
      <c r="A23" t="inlineStr">
        <is>
          <t>Sales and marketing total</t>
        </is>
      </c>
      <c r="B23" s="6">
        <f>B19+B20+B21+B22</f>
        <v/>
      </c>
      <c r="C23" s="6">
        <f>C19+C20+C21+C22</f>
        <v/>
      </c>
      <c r="D23" s="6">
        <f>D19+D20+D21+D22</f>
        <v/>
      </c>
      <c r="E23" s="6">
        <f>E19+E20+E21+E22</f>
        <v/>
      </c>
      <c r="F23" s="6">
        <f>F19+F20+F21+F22</f>
        <v/>
      </c>
      <c r="G23" s="6">
        <f>G19+G20+G21+G22</f>
        <v/>
      </c>
      <c r="H23" s="6">
        <f>H19+H20+H21+H22</f>
        <v/>
      </c>
      <c r="I23" s="6">
        <f>I19+I20+I21+I22</f>
        <v/>
      </c>
      <c r="J23" s="6">
        <f>J19+J20+J21+J22</f>
        <v/>
      </c>
      <c r="K23" s="6">
        <f>K19+K20+K21+K22</f>
        <v/>
      </c>
      <c r="L23" s="6">
        <f>L19+L20+L21+L22</f>
        <v/>
      </c>
      <c r="M23" s="6">
        <f>M19+M20+M21+M22</f>
        <v/>
      </c>
    </row>
    <row r="24">
      <c r="A24" t="inlineStr">
        <is>
          <t>G&amp;A payroll</t>
        </is>
      </c>
      <c r="B24" s="5" t="n">
        <v>240302.3648022817</v>
      </c>
      <c r="C24" s="5" t="n">
        <v>249554.5448022817</v>
      </c>
      <c r="D24" s="5" t="n">
        <v>249554.5448022817</v>
      </c>
      <c r="E24" s="5" t="n">
        <v>249554.5448022817</v>
      </c>
      <c r="F24" s="5" t="n">
        <v>249554.5448022817</v>
      </c>
      <c r="G24" s="5" t="n">
        <v>249554.5448022817</v>
      </c>
      <c r="H24" s="5" t="n">
        <v>249554.5448022817</v>
      </c>
      <c r="I24" s="5" t="n">
        <v>249554.5448022817</v>
      </c>
      <c r="J24" s="5" t="n">
        <v>249554.5448022817</v>
      </c>
      <c r="K24" s="5" t="n">
        <v>249554.5448022817</v>
      </c>
      <c r="L24" s="5" t="n">
        <v>249554.5448022817</v>
      </c>
      <c r="M24" s="5" t="n">
        <v>249554.5448022817</v>
      </c>
    </row>
    <row r="25">
      <c r="A25" t="inlineStr">
        <is>
          <t>G&amp;A recruiting</t>
        </is>
      </c>
      <c r="B25" s="5" t="n">
        <v>0</v>
      </c>
      <c r="C25" s="5" t="n">
        <v>13500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</row>
    <row r="26">
      <c r="A26" t="inlineStr">
        <is>
          <t>Rent</t>
        </is>
      </c>
      <c r="B26" s="5" t="n">
        <v>65317</v>
      </c>
      <c r="C26" s="5" t="n">
        <v>68894</v>
      </c>
      <c r="D26" s="5" t="n">
        <v>71050</v>
      </c>
      <c r="E26" s="5" t="n">
        <v>71540</v>
      </c>
      <c r="F26" s="5" t="n">
        <v>71540</v>
      </c>
      <c r="G26" s="5" t="n">
        <v>71540</v>
      </c>
      <c r="H26" s="5" t="n">
        <v>71540</v>
      </c>
      <c r="I26" s="5" t="n">
        <v>71540</v>
      </c>
      <c r="J26" s="5" t="n">
        <v>71540</v>
      </c>
      <c r="K26" s="5" t="n">
        <v>71540</v>
      </c>
      <c r="L26" s="5" t="n">
        <v>71540</v>
      </c>
      <c r="M26" s="5" t="n">
        <v>71540</v>
      </c>
    </row>
    <row r="27">
      <c r="A27" t="inlineStr">
        <is>
          <t>Software seats</t>
        </is>
      </c>
      <c r="B27" s="5" t="n">
        <v>23990.4</v>
      </c>
      <c r="C27" s="5" t="n">
        <v>25225.2</v>
      </c>
      <c r="D27" s="5" t="n">
        <v>25930.8</v>
      </c>
      <c r="E27" s="5" t="n">
        <v>26107.2</v>
      </c>
      <c r="F27" s="5" t="n">
        <v>26107.2</v>
      </c>
      <c r="G27" s="5" t="n">
        <v>26107.2</v>
      </c>
      <c r="H27" s="5" t="n">
        <v>26107.2</v>
      </c>
      <c r="I27" s="5" t="n">
        <v>26107.2</v>
      </c>
      <c r="J27" s="5" t="n">
        <v>26107.2</v>
      </c>
      <c r="K27" s="5" t="n">
        <v>26107.2</v>
      </c>
      <c r="L27" s="5" t="n">
        <v>26107.2</v>
      </c>
      <c r="M27" s="5" t="n">
        <v>26107.2</v>
      </c>
    </row>
    <row r="28">
      <c r="A28" t="inlineStr">
        <is>
          <t>Fixed G&amp;A</t>
        </is>
      </c>
      <c r="B28" s="5" t="n">
        <v>75000</v>
      </c>
      <c r="C28" s="5" t="n">
        <v>75000</v>
      </c>
      <c r="D28" s="5" t="n">
        <v>75000</v>
      </c>
      <c r="E28" s="5" t="n">
        <v>75000</v>
      </c>
      <c r="F28" s="5" t="n">
        <v>75000</v>
      </c>
      <c r="G28" s="5" t="n">
        <v>75000</v>
      </c>
      <c r="H28" s="5" t="n">
        <v>75000</v>
      </c>
      <c r="I28" s="5" t="n">
        <v>75000</v>
      </c>
      <c r="J28" s="5" t="n">
        <v>75000</v>
      </c>
      <c r="K28" s="5" t="n">
        <v>75000</v>
      </c>
      <c r="L28" s="5" t="n">
        <v>75000</v>
      </c>
      <c r="M28" s="5" t="n">
        <v>75000</v>
      </c>
    </row>
    <row r="29">
      <c r="A29" t="inlineStr">
        <is>
          <t>G&amp;A total</t>
        </is>
      </c>
      <c r="B29" s="6">
        <f>B24+B25+B26+B27+B28</f>
        <v/>
      </c>
      <c r="C29" s="6">
        <f>C24+C25+C26+C27+C28</f>
        <v/>
      </c>
      <c r="D29" s="6">
        <f>D24+D25+D26+D27+D28</f>
        <v/>
      </c>
      <c r="E29" s="6">
        <f>E24+E25+E26+E27+E28</f>
        <v/>
      </c>
      <c r="F29" s="6">
        <f>F24+F25+F26+F27+F28</f>
        <v/>
      </c>
      <c r="G29" s="6">
        <f>G24+G25+G26+G27+G28</f>
        <v/>
      </c>
      <c r="H29" s="6">
        <f>H24+H25+H26+H27+H28</f>
        <v/>
      </c>
      <c r="I29" s="6">
        <f>I24+I25+I26+I27+I28</f>
        <v/>
      </c>
      <c r="J29" s="6">
        <f>J24+J25+J26+J27+J28</f>
        <v/>
      </c>
      <c r="K29" s="6">
        <f>K24+K25+K26+K27+K28</f>
        <v/>
      </c>
      <c r="L29" s="6">
        <f>L24+L25+L26+L27+L28</f>
        <v/>
      </c>
      <c r="M29" s="6">
        <f>M24+M25+M26+M27+M28</f>
        <v/>
      </c>
    </row>
    <row r="30">
      <c r="A30" t="inlineStr">
        <is>
          <t>Operating expenses</t>
        </is>
      </c>
      <c r="B30" s="6">
        <f>B18+B23+B29</f>
        <v/>
      </c>
      <c r="C30" s="6">
        <f>C18+C23+C29</f>
        <v/>
      </c>
      <c r="D30" s="6">
        <f>D18+D23+D29</f>
        <v/>
      </c>
      <c r="E30" s="6">
        <f>E18+E23+E29</f>
        <v/>
      </c>
      <c r="F30" s="6">
        <f>F18+F23+F29</f>
        <v/>
      </c>
      <c r="G30" s="6">
        <f>G18+G23+G29</f>
        <v/>
      </c>
      <c r="H30" s="6">
        <f>H18+H23+H29</f>
        <v/>
      </c>
      <c r="I30" s="6">
        <f>I18+I23+I29</f>
        <v/>
      </c>
      <c r="J30" s="6">
        <f>J18+J23+J29</f>
        <v/>
      </c>
      <c r="K30" s="6">
        <f>K18+K23+K29</f>
        <v/>
      </c>
      <c r="L30" s="6">
        <f>L18+L23+L29</f>
        <v/>
      </c>
      <c r="M30" s="6">
        <f>M18+M23+M29</f>
        <v/>
      </c>
    </row>
    <row r="31">
      <c r="A31" t="inlineStr">
        <is>
          <t>EBITDA</t>
        </is>
      </c>
      <c r="B31" s="6">
        <f>B12-B30</f>
        <v/>
      </c>
      <c r="C31" s="6">
        <f>C12-C30</f>
        <v/>
      </c>
      <c r="D31" s="6">
        <f>D12-D30</f>
        <v/>
      </c>
      <c r="E31" s="6">
        <f>E12-E30</f>
        <v/>
      </c>
      <c r="F31" s="6">
        <f>F12-F30</f>
        <v/>
      </c>
      <c r="G31" s="6">
        <f>G12-G30</f>
        <v/>
      </c>
      <c r="H31" s="6">
        <f>H12-H30</f>
        <v/>
      </c>
      <c r="I31" s="6">
        <f>I12-I30</f>
        <v/>
      </c>
      <c r="J31" s="6">
        <f>J12-J30</f>
        <v/>
      </c>
      <c r="K31" s="6">
        <f>K12-K30</f>
        <v/>
      </c>
      <c r="L31" s="6">
        <f>L12-L30</f>
        <v/>
      </c>
      <c r="M31" s="6">
        <f>M12-M30</f>
        <v/>
      </c>
    </row>
    <row r="32">
      <c r="A32" t="inlineStr">
        <is>
          <t>EBITDA margin</t>
        </is>
      </c>
      <c r="B32" s="7">
        <f>IF(B5=0,0,B31/B5)</f>
        <v/>
      </c>
      <c r="C32" s="7">
        <f>IF(C5=0,0,C31/C5)</f>
        <v/>
      </c>
      <c r="D32" s="7">
        <f>IF(D5=0,0,D31/D5)</f>
        <v/>
      </c>
      <c r="E32" s="7">
        <f>IF(E5=0,0,E31/E5)</f>
        <v/>
      </c>
      <c r="F32" s="7">
        <f>IF(F5=0,0,F31/F5)</f>
        <v/>
      </c>
      <c r="G32" s="7">
        <f>IF(G5=0,0,G31/G5)</f>
        <v/>
      </c>
      <c r="H32" s="7">
        <f>IF(H5=0,0,H31/H5)</f>
        <v/>
      </c>
      <c r="I32" s="7">
        <f>IF(I5=0,0,I31/I5)</f>
        <v/>
      </c>
      <c r="J32" s="7">
        <f>IF(J5=0,0,J31/J5)</f>
        <v/>
      </c>
      <c r="K32" s="7">
        <f>IF(K5=0,0,K31/K5)</f>
        <v/>
      </c>
      <c r="L32" s="7">
        <f>IF(L5=0,0,L31/L5)</f>
        <v/>
      </c>
      <c r="M32" s="7">
        <f>IF(M5=0,0,M31/M5)</f>
        <v/>
      </c>
    </row>
    <row r="33">
      <c r="A33" t="inlineStr">
        <is>
          <t>FTE total</t>
        </is>
      </c>
      <c r="B33" s="8" t="n">
        <v>133.28</v>
      </c>
      <c r="C33" s="8" t="n">
        <v>140.14</v>
      </c>
      <c r="D33" s="8" t="n">
        <v>144.06</v>
      </c>
      <c r="E33" s="8" t="n">
        <v>145.04</v>
      </c>
      <c r="F33" s="8" t="n">
        <v>145.04</v>
      </c>
      <c r="G33" s="8" t="n">
        <v>145.04</v>
      </c>
      <c r="H33" s="8" t="n">
        <v>145.04</v>
      </c>
      <c r="I33" s="8" t="n">
        <v>145.04</v>
      </c>
      <c r="J33" s="8" t="n">
        <v>145.04</v>
      </c>
      <c r="K33" s="8" t="n">
        <v>145.04</v>
      </c>
      <c r="L33" s="8" t="n">
        <v>145.04</v>
      </c>
      <c r="M33" s="8" t="n">
        <v>145.04</v>
      </c>
    </row>
    <row r="34">
      <c r="A34" t="inlineStr">
        <is>
          <t>FTE customer operations</t>
        </is>
      </c>
      <c r="B34" s="8" t="n">
        <v>25.48</v>
      </c>
      <c r="C34" s="8" t="n">
        <v>25.48</v>
      </c>
      <c r="D34" s="8" t="n">
        <v>27.44</v>
      </c>
      <c r="E34" s="8" t="n">
        <v>27.44</v>
      </c>
      <c r="F34" s="8" t="n">
        <v>27.44</v>
      </c>
      <c r="G34" s="8" t="n">
        <v>27.44</v>
      </c>
      <c r="H34" s="8" t="n">
        <v>27.44</v>
      </c>
      <c r="I34" s="8" t="n">
        <v>27.44</v>
      </c>
      <c r="J34" s="8" t="n">
        <v>27.44</v>
      </c>
      <c r="K34" s="8" t="n">
        <v>27.44</v>
      </c>
      <c r="L34" s="8" t="n">
        <v>27.44</v>
      </c>
      <c r="M34" s="8" t="n">
        <v>27.44</v>
      </c>
    </row>
    <row r="35">
      <c r="A35" t="inlineStr">
        <is>
          <t>FTE R&amp;D</t>
        </is>
      </c>
      <c r="B35" s="8" t="n">
        <v>65.66</v>
      </c>
      <c r="C35" s="8" t="n">
        <v>70.56</v>
      </c>
      <c r="D35" s="8" t="n">
        <v>72.52</v>
      </c>
      <c r="E35" s="8" t="n">
        <v>72.52</v>
      </c>
      <c r="F35" s="8" t="n">
        <v>72.52</v>
      </c>
      <c r="G35" s="8" t="n">
        <v>72.52</v>
      </c>
      <c r="H35" s="8" t="n">
        <v>72.52</v>
      </c>
      <c r="I35" s="8" t="n">
        <v>72.52</v>
      </c>
      <c r="J35" s="8" t="n">
        <v>72.52</v>
      </c>
      <c r="K35" s="8" t="n">
        <v>72.52</v>
      </c>
      <c r="L35" s="8" t="n">
        <v>72.52</v>
      </c>
      <c r="M35" s="8" t="n">
        <v>72.52</v>
      </c>
    </row>
    <row r="36">
      <c r="A36" t="inlineStr">
        <is>
          <t>FTE sales and marketing</t>
        </is>
      </c>
      <c r="B36" s="8" t="n">
        <v>28.42</v>
      </c>
      <c r="C36" s="8" t="n">
        <v>29.4</v>
      </c>
      <c r="D36" s="8" t="n">
        <v>29.4</v>
      </c>
      <c r="E36" s="8" t="n">
        <v>30.38</v>
      </c>
      <c r="F36" s="8" t="n">
        <v>30.38</v>
      </c>
      <c r="G36" s="8" t="n">
        <v>30.38</v>
      </c>
      <c r="H36" s="8" t="n">
        <v>30.38</v>
      </c>
      <c r="I36" s="8" t="n">
        <v>30.38</v>
      </c>
      <c r="J36" s="8" t="n">
        <v>30.38</v>
      </c>
      <c r="K36" s="8" t="n">
        <v>30.38</v>
      </c>
      <c r="L36" s="8" t="n">
        <v>30.38</v>
      </c>
      <c r="M36" s="8" t="n">
        <v>30.38</v>
      </c>
    </row>
    <row r="37">
      <c r="A37" t="inlineStr">
        <is>
          <t>FTE G&amp;A</t>
        </is>
      </c>
      <c r="B37" s="8" t="n">
        <v>13.72</v>
      </c>
      <c r="C37" s="8" t="n">
        <v>14.7</v>
      </c>
      <c r="D37" s="8" t="n">
        <v>14.7</v>
      </c>
      <c r="E37" s="8" t="n">
        <v>14.7</v>
      </c>
      <c r="F37" s="8" t="n">
        <v>14.7</v>
      </c>
      <c r="G37" s="8" t="n">
        <v>14.7</v>
      </c>
      <c r="H37" s="8" t="n">
        <v>14.7</v>
      </c>
      <c r="I37" s="8" t="n">
        <v>14.7</v>
      </c>
      <c r="J37" s="8" t="n">
        <v>14.7</v>
      </c>
      <c r="K37" s="8" t="n">
        <v>14.7</v>
      </c>
      <c r="L37" s="8" t="n">
        <v>14.7</v>
      </c>
      <c r="M37" s="8" t="n">
        <v>14.7</v>
      </c>
    </row>
    <row r="38">
      <c r="A38" t="inlineStr">
        <is>
          <t>Total ARR (closing)</t>
        </is>
      </c>
      <c r="B38" s="5" t="n">
        <v>20860256.36657332</v>
      </c>
      <c r="C38" s="5" t="n">
        <v>21491201.16236643</v>
      </c>
      <c r="D38" s="5" t="n">
        <v>22240914.5938477</v>
      </c>
      <c r="E38" s="5" t="n">
        <v>22921698.28021182</v>
      </c>
      <c r="F38" s="5" t="n">
        <v>23661414.46780433</v>
      </c>
      <c r="G38" s="5" t="n">
        <v>24473030.478322</v>
      </c>
      <c r="H38" s="5" t="n">
        <v>25119189.58342924</v>
      </c>
      <c r="I38" s="5" t="n">
        <v>25768944.55205926</v>
      </c>
      <c r="J38" s="5" t="n">
        <v>26559183.85755401</v>
      </c>
      <c r="K38" s="5" t="n">
        <v>27353951.39600028</v>
      </c>
      <c r="L38" s="5" t="n">
        <v>28118882.15545219</v>
      </c>
      <c r="M38" s="5" t="n">
        <v>29026389.46913172</v>
      </c>
    </row>
    <row r="39">
      <c r="A39" s="2" t="inlineStr">
        <is>
          <t>Shaded yellow: values from the model. Shaded blue: Excel formulas.</t>
        </is>
      </c>
    </row>
    <row r="41">
      <c r="A41" s="1" t="inlineStr">
        <is>
          <t>Budget FY2026: ARR roll-forward</t>
        </is>
      </c>
    </row>
    <row r="42">
      <c r="A42" s="2" t="inlineStr">
        <is>
          <t>USD, monthly</t>
        </is>
      </c>
      <c r="B42" s="4" t="inlineStr">
        <is>
          <t>2026-01</t>
        </is>
      </c>
      <c r="C42" s="4" t="inlineStr">
        <is>
          <t>2026-02</t>
        </is>
      </c>
      <c r="D42" s="4" t="inlineStr">
        <is>
          <t>2026-03</t>
        </is>
      </c>
      <c r="E42" s="4" t="inlineStr">
        <is>
          <t>2026-04</t>
        </is>
      </c>
      <c r="F42" s="4" t="inlineStr">
        <is>
          <t>2026-05</t>
        </is>
      </c>
      <c r="G42" s="4" t="inlineStr">
        <is>
          <t>2026-06</t>
        </is>
      </c>
      <c r="H42" s="4" t="inlineStr">
        <is>
          <t>2026-07</t>
        </is>
      </c>
      <c r="I42" s="4" t="inlineStr">
        <is>
          <t>2026-08</t>
        </is>
      </c>
      <c r="J42" s="4" t="inlineStr">
        <is>
          <t>2026-09</t>
        </is>
      </c>
      <c r="K42" s="4" t="inlineStr">
        <is>
          <t>2026-10</t>
        </is>
      </c>
      <c r="L42" s="4" t="inlineStr">
        <is>
          <t>2026-11</t>
        </is>
      </c>
      <c r="M42" s="4" t="inlineStr">
        <is>
          <t>2026-12</t>
        </is>
      </c>
    </row>
    <row r="43">
      <c r="A43" t="inlineStr">
        <is>
          <t>Opening Platform ARR</t>
        </is>
      </c>
      <c r="B43" s="5" t="n">
        <v>17991740.30973512</v>
      </c>
      <c r="C43" s="5" t="n">
        <v>19379406.57205221</v>
      </c>
      <c r="D43" s="5" t="n">
        <v>19924302.16593714</v>
      </c>
      <c r="E43" s="5" t="n">
        <v>20575826.03398553</v>
      </c>
      <c r="F43" s="5" t="n">
        <v>21160885.92841488</v>
      </c>
      <c r="G43" s="5" t="n">
        <v>21796942.18982583</v>
      </c>
      <c r="H43" s="5" t="n">
        <v>22495376.33414849</v>
      </c>
      <c r="I43" s="5" t="n">
        <v>23039764.23121423</v>
      </c>
      <c r="J43" s="5" t="n">
        <v>23584603.71878957</v>
      </c>
      <c r="K43" s="5" t="n">
        <v>24253595.67148605</v>
      </c>
      <c r="L43" s="5" t="n">
        <v>24923142.57850549</v>
      </c>
      <c r="M43" s="5" t="n">
        <v>25562319.77520365</v>
      </c>
    </row>
    <row r="44">
      <c r="A44" t="inlineStr">
        <is>
          <t>New ARR</t>
        </is>
      </c>
      <c r="B44" s="5" t="n">
        <v>473154.4125</v>
      </c>
      <c r="C44" s="5" t="n">
        <v>528819.6375</v>
      </c>
      <c r="D44" s="5" t="n">
        <v>634995.9000000001</v>
      </c>
      <c r="E44" s="5" t="n">
        <v>567991.4625</v>
      </c>
      <c r="F44" s="5" t="n">
        <v>618502.5</v>
      </c>
      <c r="G44" s="5" t="n">
        <v>680352.7500000001</v>
      </c>
      <c r="H44" s="5" t="n">
        <v>525727.125</v>
      </c>
      <c r="I44" s="5" t="n">
        <v>525727.125</v>
      </c>
      <c r="J44" s="5" t="n">
        <v>649427.625</v>
      </c>
      <c r="K44" s="5" t="n">
        <v>649427.625</v>
      </c>
      <c r="L44" s="5" t="n">
        <v>618502.5</v>
      </c>
      <c r="M44" s="5" t="n">
        <v>742203</v>
      </c>
    </row>
    <row r="45">
      <c r="A45" t="inlineStr">
        <is>
          <t>Expansion ARR</t>
        </is>
      </c>
      <c r="B45" s="5" t="n">
        <v>172201.6285159826</v>
      </c>
      <c r="C45" s="5" t="n">
        <v>185483.1891707011</v>
      </c>
      <c r="D45" s="5" t="n">
        <v>190698.4661268384</v>
      </c>
      <c r="E45" s="5" t="n">
        <v>196934.2981899689</v>
      </c>
      <c r="F45" s="5" t="n">
        <v>202533.9936538707</v>
      </c>
      <c r="G45" s="5" t="n">
        <v>208621.782948133</v>
      </c>
      <c r="H45" s="5" t="n">
        <v>215306.6002583546</v>
      </c>
      <c r="I45" s="5" t="n">
        <v>220517.0179725536</v>
      </c>
      <c r="J45" s="5" t="n">
        <v>225731.7579268381</v>
      </c>
      <c r="K45" s="5" t="n">
        <v>232134.7796320863</v>
      </c>
      <c r="L45" s="5" t="n">
        <v>238543.1128878859</v>
      </c>
      <c r="M45" s="5" t="n">
        <v>244660.7731190169</v>
      </c>
    </row>
    <row r="46">
      <c r="A46" t="inlineStr">
        <is>
          <t>Price ARR</t>
        </is>
      </c>
      <c r="B46" s="5" t="n">
        <v>899587.0154867559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t="inlineStr">
        <is>
          <t>Churned ARR</t>
        </is>
      </c>
      <c r="B47" s="5" t="n">
        <v>-157276.7941856391</v>
      </c>
      <c r="C47" s="5" t="n">
        <v>-169407.2327857733</v>
      </c>
      <c r="D47" s="5" t="n">
        <v>-174170.4980784437</v>
      </c>
      <c r="E47" s="5" t="n">
        <v>-179865.8662606219</v>
      </c>
      <c r="F47" s="5" t="n">
        <v>-184980.2322429192</v>
      </c>
      <c r="G47" s="5" t="n">
        <v>-190540.3886254726</v>
      </c>
      <c r="H47" s="5" t="n">
        <v>-196645.8281926178</v>
      </c>
      <c r="I47" s="5" t="n">
        <v>-201404.655397212</v>
      </c>
      <c r="J47" s="5" t="n">
        <v>-206167.430230352</v>
      </c>
      <c r="K47" s="5" t="n">
        <v>-212015.4976126475</v>
      </c>
      <c r="L47" s="5" t="n">
        <v>-217868.4161897319</v>
      </c>
      <c r="M47" s="5" t="n">
        <v>-223455.8545743808</v>
      </c>
    </row>
    <row r="48">
      <c r="A48" t="inlineStr">
        <is>
          <t>Closing Platform ARR</t>
        </is>
      </c>
      <c r="B48" s="6">
        <f>B43+B44+B45+B46+B47</f>
        <v/>
      </c>
      <c r="C48" s="6">
        <f>C43+C44+C45+C46+C47</f>
        <v/>
      </c>
      <c r="D48" s="6">
        <f>D43+D44+D45+D46+D47</f>
        <v/>
      </c>
      <c r="E48" s="6">
        <f>E43+E44+E45+E46+E47</f>
        <v/>
      </c>
      <c r="F48" s="6">
        <f>F43+F44+F45+F46+F47</f>
        <v/>
      </c>
      <c r="G48" s="6">
        <f>G43+G44+G45+G46+G47</f>
        <v/>
      </c>
      <c r="H48" s="6">
        <f>H43+H44+H45+H46+H47</f>
        <v/>
      </c>
      <c r="I48" s="6">
        <f>I43+I44+I45+I46+I47</f>
        <v/>
      </c>
      <c r="J48" s="6">
        <f>J43+J44+J45+J46+J47</f>
        <v/>
      </c>
      <c r="K48" s="6">
        <f>K43+K44+K45+K46+K47</f>
        <v/>
      </c>
      <c r="L48" s="6">
        <f>L43+L44+L45+L46+L47</f>
        <v/>
      </c>
      <c r="M48" s="6">
        <f>M43+M44+M45+M46+M47</f>
        <v/>
      </c>
    </row>
    <row r="49">
      <c r="A49" t="inlineStr">
        <is>
          <t>Opening customers</t>
        </is>
      </c>
      <c r="B49" s="8" t="n">
        <v>481.3606233164693</v>
      </c>
      <c r="C49" s="8" t="n">
        <v>489.7752560185265</v>
      </c>
      <c r="D49" s="8" t="n">
        <v>499.6013312751755</v>
      </c>
      <c r="E49" s="8" t="n">
        <v>512.1740108047194</v>
      </c>
      <c r="F49" s="8" t="n">
        <v>522.8492848611579</v>
      </c>
      <c r="G49" s="8" t="n">
        <v>534.7787398249602</v>
      </c>
      <c r="H49" s="8" t="n">
        <v>548.2539121345674</v>
      </c>
      <c r="I49" s="8" t="n">
        <v>557.4862897302964</v>
      </c>
      <c r="J49" s="8" t="n">
        <v>566.6379614728968</v>
      </c>
      <c r="K49" s="8" t="n">
        <v>579.0096328615383</v>
      </c>
      <c r="L49" s="8" t="n">
        <v>591.273155912041</v>
      </c>
      <c r="M49" s="8" t="n">
        <v>602.6044760151023</v>
      </c>
    </row>
    <row r="50">
      <c r="A50" t="inlineStr">
        <is>
          <t>New logos</t>
        </is>
      </c>
      <c r="B50" s="8" t="n">
        <v>12.6225</v>
      </c>
      <c r="C50" s="8" t="n">
        <v>14.1075</v>
      </c>
      <c r="D50" s="8" t="n">
        <v>16.94</v>
      </c>
      <c r="E50" s="8" t="n">
        <v>15.1525</v>
      </c>
      <c r="F50" s="8" t="n">
        <v>16.5</v>
      </c>
      <c r="G50" s="8" t="n">
        <v>18.15</v>
      </c>
      <c r="H50" s="8" t="n">
        <v>14.025</v>
      </c>
      <c r="I50" s="8" t="n">
        <v>14.025</v>
      </c>
      <c r="J50" s="8" t="n">
        <v>17.325</v>
      </c>
      <c r="K50" s="8" t="n">
        <v>17.325</v>
      </c>
      <c r="L50" s="8" t="n">
        <v>16.5</v>
      </c>
      <c r="M50" s="8" t="n">
        <v>19.8</v>
      </c>
    </row>
    <row r="51">
      <c r="A51" t="inlineStr">
        <is>
          <t>Churned customers</t>
        </is>
      </c>
      <c r="B51" s="8" t="n">
        <v>-4.20786729794289</v>
      </c>
      <c r="C51" s="8" t="n">
        <v>-4.281424743350942</v>
      </c>
      <c r="D51" s="8" t="n">
        <v>-4.36732047045614</v>
      </c>
      <c r="E51" s="8" t="n">
        <v>-4.477225943561492</v>
      </c>
      <c r="F51" s="8" t="n">
        <v>-4.570545036197645</v>
      </c>
      <c r="G51" s="8" t="n">
        <v>-4.67482769039278</v>
      </c>
      <c r="H51" s="8" t="n">
        <v>-4.792622404270868</v>
      </c>
      <c r="I51" s="8" t="n">
        <v>-4.87332825739959</v>
      </c>
      <c r="J51" s="8" t="n">
        <v>-4.953328611358494</v>
      </c>
      <c r="K51" s="8" t="n">
        <v>-5.06147694949735</v>
      </c>
      <c r="L51" s="8" t="n">
        <v>-5.168679896938801</v>
      </c>
      <c r="M51" s="8" t="n">
        <v>-5.267733888882895</v>
      </c>
    </row>
    <row r="52">
      <c r="A52" t="inlineStr">
        <is>
          <t>Closing customers</t>
        </is>
      </c>
      <c r="B52" s="9">
        <f>B49+B50+B51</f>
        <v/>
      </c>
      <c r="C52" s="9">
        <f>C49+C50+C51</f>
        <v/>
      </c>
      <c r="D52" s="9">
        <f>D49+D50+D51</f>
        <v/>
      </c>
      <c r="E52" s="9">
        <f>E49+E50+E51</f>
        <v/>
      </c>
      <c r="F52" s="9">
        <f>F49+F50+F51</f>
        <v/>
      </c>
      <c r="G52" s="9">
        <f>G49+G50+G51</f>
        <v/>
      </c>
      <c r="H52" s="9">
        <f>H49+H50+H51</f>
        <v/>
      </c>
      <c r="I52" s="9">
        <f>I49+I50+I51</f>
        <v/>
      </c>
      <c r="J52" s="9">
        <f>J49+J50+J51</f>
        <v/>
      </c>
      <c r="K52" s="9">
        <f>K49+K50+K51</f>
        <v/>
      </c>
      <c r="L52" s="9">
        <f>L49+L50+L51</f>
        <v/>
      </c>
      <c r="M52" s="9">
        <f>M49+M50+M51</f>
        <v/>
      </c>
    </row>
    <row r="53">
      <c r="A53" t="inlineStr">
        <is>
          <t>Insights attach rate</t>
        </is>
      </c>
      <c r="B53" s="10" t="n">
        <v>0.222</v>
      </c>
      <c r="C53" s="10" t="n">
        <v>0.228</v>
      </c>
      <c r="D53" s="10" t="n">
        <v>0.234</v>
      </c>
      <c r="E53" s="10" t="n">
        <v>0.24</v>
      </c>
      <c r="F53" s="10" t="n">
        <v>0.2460000000000001</v>
      </c>
      <c r="G53" s="10" t="n">
        <v>0.2520000000000001</v>
      </c>
      <c r="H53" s="10" t="n">
        <v>0.2580000000000001</v>
      </c>
      <c r="I53" s="10" t="n">
        <v>0.2640000000000001</v>
      </c>
      <c r="J53" s="10" t="n">
        <v>0.2700000000000001</v>
      </c>
      <c r="K53" s="10" t="n">
        <v>0.2760000000000001</v>
      </c>
      <c r="L53" s="10" t="n">
        <v>0.2820000000000001</v>
      </c>
      <c r="M53" s="10" t="n">
        <v>0.2880000000000001</v>
      </c>
    </row>
    <row r="54">
      <c r="A54" t="inlineStr">
        <is>
          <t>Insights customers</t>
        </is>
      </c>
      <c r="B54" s="8" t="n">
        <v>108.7301068361129</v>
      </c>
      <c r="C54" s="8" t="n">
        <v>113.90910353074</v>
      </c>
      <c r="D54" s="8" t="n">
        <v>119.8487185283044</v>
      </c>
      <c r="E54" s="8" t="n">
        <v>125.4838283666779</v>
      </c>
      <c r="F54" s="8" t="n">
        <v>131.5555699969402</v>
      </c>
      <c r="G54" s="8" t="n">
        <v>138.159985857911</v>
      </c>
      <c r="H54" s="8" t="n">
        <v>143.8314627504165</v>
      </c>
      <c r="I54" s="8" t="n">
        <v>149.5924218288448</v>
      </c>
      <c r="J54" s="8" t="n">
        <v>156.3326008726154</v>
      </c>
      <c r="K54" s="8" t="n">
        <v>163.1913910317234</v>
      </c>
      <c r="L54" s="8" t="n">
        <v>169.9344622362589</v>
      </c>
      <c r="M54" s="8" t="n">
        <v>177.7353817323512</v>
      </c>
    </row>
    <row r="55">
      <c r="A55" t="inlineStr">
        <is>
          <t>Insights ARR per customer</t>
        </is>
      </c>
      <c r="B55" s="5" t="n">
        <v>13619.50096078876</v>
      </c>
      <c r="C55" s="5" t="n">
        <v>13755.69597039665</v>
      </c>
      <c r="D55" s="5" t="n">
        <v>13893.25293010061</v>
      </c>
      <c r="E55" s="5" t="n">
        <v>14032.18545940162</v>
      </c>
      <c r="F55" s="5" t="n">
        <v>14172.50731399564</v>
      </c>
      <c r="G55" s="5" t="n">
        <v>14314.23238713559</v>
      </c>
      <c r="H55" s="5" t="n">
        <v>14457.37471100695</v>
      </c>
      <c r="I55" s="5" t="n">
        <v>14601.94845811702</v>
      </c>
      <c r="J55" s="5" t="n">
        <v>14747.96794269819</v>
      </c>
      <c r="K55" s="5" t="n">
        <v>14895.44762212517</v>
      </c>
      <c r="L55" s="5" t="n">
        <v>15044.40209834642</v>
      </c>
      <c r="M55" s="5" t="n">
        <v>15194.84611932989</v>
      </c>
    </row>
    <row r="56">
      <c r="A56" t="inlineStr">
        <is>
          <t>Insights ARR</t>
        </is>
      </c>
      <c r="B56" s="5" t="n">
        <v>1480849.794521104</v>
      </c>
      <c r="C56" s="5" t="n">
        <v>1566898.996429295</v>
      </c>
      <c r="D56" s="5" t="n">
        <v>1665088.559862168</v>
      </c>
      <c r="E56" s="5" t="n">
        <v>1760812.351796946</v>
      </c>
      <c r="F56" s="5" t="n">
        <v>1864472.277978501</v>
      </c>
      <c r="G56" s="5" t="n">
        <v>1977654.144173505</v>
      </c>
      <c r="H56" s="5" t="n">
        <v>2079425.35221501</v>
      </c>
      <c r="I56" s="5" t="n">
        <v>2184340.833269691</v>
      </c>
      <c r="J56" s="5" t="n">
        <v>2305588.186067963</v>
      </c>
      <c r="K56" s="5" t="n">
        <v>2430808.817494783</v>
      </c>
      <c r="L56" s="5" t="n">
        <v>2556562.380248544</v>
      </c>
      <c r="M56" s="5" t="n">
        <v>2700661.775383433</v>
      </c>
    </row>
    <row r="57">
      <c r="A57" t="inlineStr">
        <is>
          <t>Total ARR</t>
        </is>
      </c>
      <c r="B57" s="6">
        <f>B48+B56</f>
        <v/>
      </c>
      <c r="C57" s="6">
        <f>C48+C56</f>
        <v/>
      </c>
      <c r="D57" s="6">
        <f>D48+D56</f>
        <v/>
      </c>
      <c r="E57" s="6">
        <f>E48+E56</f>
        <v/>
      </c>
      <c r="F57" s="6">
        <f>F48+F56</f>
        <v/>
      </c>
      <c r="G57" s="6">
        <f>G48+G56</f>
        <v/>
      </c>
      <c r="H57" s="6">
        <f>H48+H56</f>
        <v/>
      </c>
      <c r="I57" s="6">
        <f>I48+I56</f>
        <v/>
      </c>
      <c r="J57" s="6">
        <f>J48+J56</f>
        <v/>
      </c>
      <c r="K57" s="6">
        <f>K48+K56</f>
        <v/>
      </c>
      <c r="L57" s="6">
        <f>L48+L56</f>
        <v/>
      </c>
      <c r="M57" s="6">
        <f>M48+M56</f>
        <v/>
      </c>
    </row>
    <row r="58">
      <c r="A58" s="2" t="inlineStr">
        <is>
          <t>Shaded yellow: values from the model. Shaded blue: Excel formulas.</t>
        </is>
      </c>
    </row>
    <row r="60">
      <c r="A60" s="1" t="inlineStr">
        <is>
          <t>Budget FY2026: cloud hosting</t>
        </is>
      </c>
    </row>
    <row r="61">
      <c r="A61" s="2" t="inlineStr">
        <is>
          <t>USD, monthly</t>
        </is>
      </c>
      <c r="B61" s="4" t="inlineStr">
        <is>
          <t>2026-01</t>
        </is>
      </c>
      <c r="C61" s="4" t="inlineStr">
        <is>
          <t>2026-02</t>
        </is>
      </c>
      <c r="D61" s="4" t="inlineStr">
        <is>
          <t>2026-03</t>
        </is>
      </c>
      <c r="E61" s="4" t="inlineStr">
        <is>
          <t>2026-04</t>
        </is>
      </c>
      <c r="F61" s="4" t="inlineStr">
        <is>
          <t>2026-05</t>
        </is>
      </c>
      <c r="G61" s="4" t="inlineStr">
        <is>
          <t>2026-06</t>
        </is>
      </c>
      <c r="H61" s="4" t="inlineStr">
        <is>
          <t>2026-07</t>
        </is>
      </c>
      <c r="I61" s="4" t="inlineStr">
        <is>
          <t>2026-08</t>
        </is>
      </c>
      <c r="J61" s="4" t="inlineStr">
        <is>
          <t>2026-09</t>
        </is>
      </c>
      <c r="K61" s="4" t="inlineStr">
        <is>
          <t>2026-10</t>
        </is>
      </c>
      <c r="L61" s="4" t="inlineStr">
        <is>
          <t>2026-11</t>
        </is>
      </c>
      <c r="M61" s="4" t="inlineStr">
        <is>
          <t>2026-12</t>
        </is>
      </c>
    </row>
    <row r="62">
      <c r="A62" t="inlineStr">
        <is>
          <t>Platform compute units</t>
        </is>
      </c>
      <c r="B62" s="8" t="n">
        <v>97955.0512037053</v>
      </c>
      <c r="C62" s="8" t="n">
        <v>99920.26625503511</v>
      </c>
      <c r="D62" s="8" t="n">
        <v>102434.8021609439</v>
      </c>
      <c r="E62" s="8" t="n">
        <v>104569.8569722316</v>
      </c>
      <c r="F62" s="8" t="n">
        <v>106955.747964992</v>
      </c>
      <c r="G62" s="8" t="n">
        <v>109650.7824269135</v>
      </c>
      <c r="H62" s="8" t="n">
        <v>111497.2579460593</v>
      </c>
      <c r="I62" s="8" t="n">
        <v>113327.5922945794</v>
      </c>
      <c r="J62" s="8" t="n">
        <v>115801.9265723077</v>
      </c>
      <c r="K62" s="8" t="n">
        <v>118254.6311824082</v>
      </c>
      <c r="L62" s="8" t="n">
        <v>120520.8952030205</v>
      </c>
      <c r="M62" s="8" t="n">
        <v>123427.3484252439</v>
      </c>
    </row>
    <row r="63">
      <c r="A63" t="inlineStr">
        <is>
          <t>Insights compute units</t>
        </is>
      </c>
      <c r="B63" s="8" t="n">
        <v>163095.1602541693</v>
      </c>
      <c r="C63" s="8" t="n">
        <v>170863.6552961101</v>
      </c>
      <c r="D63" s="8" t="n">
        <v>179773.0777924565</v>
      </c>
      <c r="E63" s="8" t="n">
        <v>188225.7425500169</v>
      </c>
      <c r="F63" s="8" t="n">
        <v>197333.3549954104</v>
      </c>
      <c r="G63" s="8" t="n">
        <v>207239.9787868665</v>
      </c>
      <c r="H63" s="8" t="n">
        <v>215747.1941256248</v>
      </c>
      <c r="I63" s="8" t="n">
        <v>224388.6327432672</v>
      </c>
      <c r="J63" s="8" t="n">
        <v>234498.9013089231</v>
      </c>
      <c r="K63" s="8" t="n">
        <v>244787.0865475851</v>
      </c>
      <c r="L63" s="8" t="n">
        <v>254901.6933543883</v>
      </c>
      <c r="M63" s="8" t="n">
        <v>266603.0725985268</v>
      </c>
    </row>
    <row r="64">
      <c r="A64" t="inlineStr">
        <is>
          <t>Total units</t>
        </is>
      </c>
      <c r="B64" s="9">
        <f>B62+B63</f>
        <v/>
      </c>
      <c r="C64" s="9">
        <f>C62+C63</f>
        <v/>
      </c>
      <c r="D64" s="9">
        <f>D62+D63</f>
        <v/>
      </c>
      <c r="E64" s="9">
        <f>E62+E63</f>
        <v/>
      </c>
      <c r="F64" s="9">
        <f>F62+F63</f>
        <v/>
      </c>
      <c r="G64" s="9">
        <f>G62+G63</f>
        <v/>
      </c>
      <c r="H64" s="9">
        <f>H62+H63</f>
        <v/>
      </c>
      <c r="I64" s="9">
        <f>I62+I63</f>
        <v/>
      </c>
      <c r="J64" s="9">
        <f>J62+J63</f>
        <v/>
      </c>
      <c r="K64" s="9">
        <f>K62+K63</f>
        <v/>
      </c>
      <c r="L64" s="9">
        <f>L62+L63</f>
        <v/>
      </c>
      <c r="M64" s="9">
        <f>M62+M63</f>
        <v/>
      </c>
    </row>
    <row r="65">
      <c r="A65" t="inlineStr">
        <is>
          <t>Committed units</t>
        </is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</row>
    <row r="66">
      <c r="A66" t="inlineStr">
        <is>
          <t>On-demand unit price</t>
        </is>
      </c>
      <c r="B66" s="11" t="n">
        <v>0.4252769830684204</v>
      </c>
      <c r="C66" s="11" t="n">
        <v>0.4244264291022836</v>
      </c>
      <c r="D66" s="11" t="n">
        <v>0.423577576244079</v>
      </c>
      <c r="E66" s="11" t="n">
        <v>0.4227304210915909</v>
      </c>
      <c r="F66" s="11" t="n">
        <v>0.4218849602494077</v>
      </c>
      <c r="G66" s="11" t="n">
        <v>0.4210411903289089</v>
      </c>
      <c r="H66" s="11" t="n">
        <v>0.420199107948251</v>
      </c>
      <c r="I66" s="11" t="n">
        <v>0.4193587097323546</v>
      </c>
      <c r="J66" s="11" t="n">
        <v>0.4185199923128898</v>
      </c>
      <c r="K66" s="11" t="n">
        <v>0.417682952328264</v>
      </c>
      <c r="L66" s="11" t="n">
        <v>0.4168475864236075</v>
      </c>
      <c r="M66" s="11" t="n">
        <v>0.4160138912507603</v>
      </c>
    </row>
    <row r="67">
      <c r="A67" t="inlineStr">
        <is>
          <t>Commitment discount</t>
        </is>
      </c>
      <c r="B67" s="10" t="n">
        <v>0</v>
      </c>
      <c r="C67" s="10" t="n">
        <v>0</v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</row>
    <row r="68">
      <c r="A68" t="inlineStr">
        <is>
          <t>Committed cost</t>
        </is>
      </c>
      <c r="B68" s="6">
        <f>MIN(B64,B65)*B66*(1-B67)</f>
        <v/>
      </c>
      <c r="C68" s="6">
        <f>MIN(C64,C65)*C66*(1-C67)</f>
        <v/>
      </c>
      <c r="D68" s="6">
        <f>MIN(D64,D65)*D66*(1-D67)</f>
        <v/>
      </c>
      <c r="E68" s="6">
        <f>MIN(E64,E65)*E66*(1-E67)</f>
        <v/>
      </c>
      <c r="F68" s="6">
        <f>MIN(F64,F65)*F66*(1-F67)</f>
        <v/>
      </c>
      <c r="G68" s="6">
        <f>MIN(G64,G65)*G66*(1-G67)</f>
        <v/>
      </c>
      <c r="H68" s="6">
        <f>MIN(H64,H65)*H66*(1-H67)</f>
        <v/>
      </c>
      <c r="I68" s="6">
        <f>MIN(I64,I65)*I66*(1-I67)</f>
        <v/>
      </c>
      <c r="J68" s="6">
        <f>MIN(J64,J65)*J66*(1-J67)</f>
        <v/>
      </c>
      <c r="K68" s="6">
        <f>MIN(K64,K65)*K66*(1-K67)</f>
        <v/>
      </c>
      <c r="L68" s="6">
        <f>MIN(L64,L65)*L66*(1-L67)</f>
        <v/>
      </c>
      <c r="M68" s="6">
        <f>MIN(M64,M65)*M66*(1-M67)</f>
        <v/>
      </c>
    </row>
    <row r="69">
      <c r="A69" t="inlineStr">
        <is>
          <t>On-demand cost</t>
        </is>
      </c>
      <c r="B69" s="6">
        <f>MAX(B64-B65,0)*B66</f>
        <v/>
      </c>
      <c r="C69" s="6">
        <f>MAX(C64-C65,0)*C66</f>
        <v/>
      </c>
      <c r="D69" s="6">
        <f>MAX(D64-D65,0)*D66</f>
        <v/>
      </c>
      <c r="E69" s="6">
        <f>MAX(E64-E65,0)*E66</f>
        <v/>
      </c>
      <c r="F69" s="6">
        <f>MAX(F64-F65,0)*F66</f>
        <v/>
      </c>
      <c r="G69" s="6">
        <f>MAX(G64-G65,0)*G66</f>
        <v/>
      </c>
      <c r="H69" s="6">
        <f>MAX(H64-H65,0)*H66</f>
        <v/>
      </c>
      <c r="I69" s="6">
        <f>MAX(I64-I65,0)*I66</f>
        <v/>
      </c>
      <c r="J69" s="6">
        <f>MAX(J64-J65,0)*J66</f>
        <v/>
      </c>
      <c r="K69" s="6">
        <f>MAX(K64-K65,0)*K66</f>
        <v/>
      </c>
      <c r="L69" s="6">
        <f>MAX(L64-L65,0)*L66</f>
        <v/>
      </c>
      <c r="M69" s="6">
        <f>MAX(M64-M65,0)*M66</f>
        <v/>
      </c>
    </row>
    <row r="70">
      <c r="A70" t="inlineStr">
        <is>
          <t>Fixed cloud cost</t>
        </is>
      </c>
      <c r="B70" s="5" t="n">
        <v>28000</v>
      </c>
      <c r="C70" s="5" t="n">
        <v>28000</v>
      </c>
      <c r="D70" s="5" t="n">
        <v>28000</v>
      </c>
      <c r="E70" s="5" t="n">
        <v>28000</v>
      </c>
      <c r="F70" s="5" t="n">
        <v>28000</v>
      </c>
      <c r="G70" s="5" t="n">
        <v>28000</v>
      </c>
      <c r="H70" s="5" t="n">
        <v>28000</v>
      </c>
      <c r="I70" s="5" t="n">
        <v>28000</v>
      </c>
      <c r="J70" s="5" t="n">
        <v>28000</v>
      </c>
      <c r="K70" s="5" t="n">
        <v>28000</v>
      </c>
      <c r="L70" s="5" t="n">
        <v>28000</v>
      </c>
      <c r="M70" s="5" t="n">
        <v>28000</v>
      </c>
    </row>
    <row r="71">
      <c r="A71" t="inlineStr">
        <is>
          <t>Cloud hosting total</t>
        </is>
      </c>
      <c r="B71" s="6">
        <f>B68+B69+B70</f>
        <v/>
      </c>
      <c r="C71" s="6">
        <f>C68+C69+C70</f>
        <v/>
      </c>
      <c r="D71" s="6">
        <f>D68+D69+D70</f>
        <v/>
      </c>
      <c r="E71" s="6">
        <f>E68+E69+E70</f>
        <v/>
      </c>
      <c r="F71" s="6">
        <f>F68+F69+F70</f>
        <v/>
      </c>
      <c r="G71" s="6">
        <f>G68+G69+G70</f>
        <v/>
      </c>
      <c r="H71" s="6">
        <f>H68+H69+H70</f>
        <v/>
      </c>
      <c r="I71" s="6">
        <f>I68+I69+I70</f>
        <v/>
      </c>
      <c r="J71" s="6">
        <f>J68+J69+J70</f>
        <v/>
      </c>
      <c r="K71" s="6">
        <f>K68+K69+K70</f>
        <v/>
      </c>
      <c r="L71" s="6">
        <f>L68+L69+L70</f>
        <v/>
      </c>
      <c r="M71" s="6">
        <f>M68+M69+M70</f>
        <v/>
      </c>
    </row>
    <row r="72">
      <c r="A72" s="2" t="inlineStr">
        <is>
          <t>Shaded yellow: values from the model. Shaded blue: Excel formulas.</t>
        </is>
      </c>
    </row>
    <row r="74">
      <c r="A74" s="1" t="inlineStr">
        <is>
          <t>Budget FY2026: cash</t>
        </is>
      </c>
    </row>
    <row r="75">
      <c r="A75" s="2" t="inlineStr">
        <is>
          <t>USD, monthly</t>
        </is>
      </c>
      <c r="B75" s="4" t="inlineStr">
        <is>
          <t>2026-01</t>
        </is>
      </c>
      <c r="C75" s="4" t="inlineStr">
        <is>
          <t>2026-02</t>
        </is>
      </c>
      <c r="D75" s="4" t="inlineStr">
        <is>
          <t>2026-03</t>
        </is>
      </c>
      <c r="E75" s="4" t="inlineStr">
        <is>
          <t>2026-04</t>
        </is>
      </c>
      <c r="F75" s="4" t="inlineStr">
        <is>
          <t>2026-05</t>
        </is>
      </c>
      <c r="G75" s="4" t="inlineStr">
        <is>
          <t>2026-06</t>
        </is>
      </c>
      <c r="H75" s="4" t="inlineStr">
        <is>
          <t>2026-07</t>
        </is>
      </c>
      <c r="I75" s="4" t="inlineStr">
        <is>
          <t>2026-08</t>
        </is>
      </c>
      <c r="J75" s="4" t="inlineStr">
        <is>
          <t>2026-09</t>
        </is>
      </c>
      <c r="K75" s="4" t="inlineStr">
        <is>
          <t>2026-10</t>
        </is>
      </c>
      <c r="L75" s="4" t="inlineStr">
        <is>
          <t>2026-11</t>
        </is>
      </c>
      <c r="M75" s="4" t="inlineStr">
        <is>
          <t>2026-12</t>
        </is>
      </c>
    </row>
    <row r="76">
      <c r="A76" t="inlineStr">
        <is>
          <t>Opening cash</t>
        </is>
      </c>
      <c r="B76" s="6">
        <f>6372292.646893708</f>
        <v/>
      </c>
      <c r="C76" s="6">
        <f>B83</f>
        <v/>
      </c>
      <c r="D76" s="6">
        <f>C83</f>
        <v/>
      </c>
      <c r="E76" s="6">
        <f>D83</f>
        <v/>
      </c>
      <c r="F76" s="6">
        <f>E83</f>
        <v/>
      </c>
      <c r="G76" s="6">
        <f>F83</f>
        <v/>
      </c>
      <c r="H76" s="6">
        <f>G83</f>
        <v/>
      </c>
      <c r="I76" s="6">
        <f>H83</f>
        <v/>
      </c>
      <c r="J76" s="6">
        <f>I83</f>
        <v/>
      </c>
      <c r="K76" s="6">
        <f>J83</f>
        <v/>
      </c>
      <c r="L76" s="6">
        <f>K83</f>
        <v/>
      </c>
      <c r="M76" s="6">
        <f>L83</f>
        <v/>
      </c>
    </row>
    <row r="77">
      <c r="A77" t="inlineStr">
        <is>
          <t>EBITDA</t>
        </is>
      </c>
      <c r="B77" s="5" t="n">
        <v>-938221.9118094482</v>
      </c>
      <c r="C77" s="5" t="n">
        <v>-1040903.855233805</v>
      </c>
      <c r="D77" s="5" t="n">
        <v>-1082646.645496077</v>
      </c>
      <c r="E77" s="5" t="n">
        <v>-952599.4672047424</v>
      </c>
      <c r="F77" s="5" t="n">
        <v>-923672.8495988678</v>
      </c>
      <c r="G77" s="5" t="n">
        <v>-917124.6132235038</v>
      </c>
      <c r="H77" s="5" t="n">
        <v>-739490.8005422596</v>
      </c>
      <c r="I77" s="5" t="n">
        <v>-692418.5896062234</v>
      </c>
      <c r="J77" s="5" t="n">
        <v>-739803.8949438599</v>
      </c>
      <c r="K77" s="5" t="n">
        <v>-682222.3838674398</v>
      </c>
      <c r="L77" s="5" t="n">
        <v>-600652.6285359084</v>
      </c>
      <c r="M77" s="5" t="n">
        <v>-639576.0607392385</v>
      </c>
    </row>
    <row r="78">
      <c r="A78" t="inlineStr">
        <is>
          <t>Equipment capex</t>
        </is>
      </c>
      <c r="B78" s="5" t="n">
        <v>-17500</v>
      </c>
      <c r="C78" s="5" t="n">
        <v>-24500</v>
      </c>
      <c r="D78" s="5" t="n">
        <v>-14000</v>
      </c>
      <c r="E78" s="5" t="n">
        <v>-3500</v>
      </c>
      <c r="F78" s="5" t="n">
        <v>-0</v>
      </c>
      <c r="G78" s="5" t="n">
        <v>-0</v>
      </c>
      <c r="H78" s="5" t="n">
        <v>-0</v>
      </c>
      <c r="I78" s="5" t="n">
        <v>-0</v>
      </c>
      <c r="J78" s="5" t="n">
        <v>-0</v>
      </c>
      <c r="K78" s="5" t="n">
        <v>-0</v>
      </c>
      <c r="L78" s="5" t="n">
        <v>-0</v>
      </c>
      <c r="M78" s="5" t="n">
        <v>-0</v>
      </c>
    </row>
    <row r="79">
      <c r="A79" t="inlineStr">
        <is>
          <t>Change in receivables</t>
        </is>
      </c>
      <c r="B79" s="5" t="n">
        <v>-183308.0024145748</v>
      </c>
      <c r="C79" s="5" t="n">
        <v>-78868.09947413998</v>
      </c>
      <c r="D79" s="5" t="n">
        <v>-93714.17893515807</v>
      </c>
      <c r="E79" s="5" t="n">
        <v>-85097.96079551475</v>
      </c>
      <c r="F79" s="5" t="n">
        <v>-92464.52344906377</v>
      </c>
      <c r="G79" s="5" t="n">
        <v>-101452.0013147076</v>
      </c>
      <c r="H79" s="5" t="n">
        <v>-80769.88813840505</v>
      </c>
      <c r="I79" s="5" t="n">
        <v>-81219.37107875338</v>
      </c>
      <c r="J79" s="5" t="n">
        <v>-98779.9131868449</v>
      </c>
      <c r="K79" s="5" t="n">
        <v>-99345.94230578188</v>
      </c>
      <c r="L79" s="5" t="n">
        <v>-95616.34493148979</v>
      </c>
      <c r="M79" s="5" t="n">
        <v>-113438.4142099405</v>
      </c>
    </row>
    <row r="80">
      <c r="A80" t="inlineStr">
        <is>
          <t>Change in deferred revenue</t>
        </is>
      </c>
      <c r="B80" s="5" t="n">
        <v>268851.7368747103</v>
      </c>
      <c r="C80" s="5" t="n">
        <v>115673.2125620702</v>
      </c>
      <c r="D80" s="5" t="n">
        <v>137447.4624382327</v>
      </c>
      <c r="E80" s="5" t="n">
        <v>124810.3425000897</v>
      </c>
      <c r="F80" s="5" t="n">
        <v>135614.6343919598</v>
      </c>
      <c r="G80" s="5" t="n">
        <v>148796.2685949048</v>
      </c>
      <c r="H80" s="5" t="n">
        <v>118462.5026029935</v>
      </c>
      <c r="I80" s="5" t="n">
        <v>119121.7442488382</v>
      </c>
      <c r="J80" s="5" t="n">
        <v>144877.2060073717</v>
      </c>
      <c r="K80" s="5" t="n">
        <v>145707.3820484811</v>
      </c>
      <c r="L80" s="5" t="n">
        <v>140237.3058995185</v>
      </c>
      <c r="M80" s="5" t="n">
        <v>166376.3408412449</v>
      </c>
    </row>
    <row r="81">
      <c r="A81" t="inlineStr">
        <is>
          <t>Financing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</row>
    <row r="82">
      <c r="A82" t="inlineStr">
        <is>
          <t>Net cash flow</t>
        </is>
      </c>
      <c r="B82" s="6">
        <f>B77+B78+B79+B80+B81</f>
        <v/>
      </c>
      <c r="C82" s="6">
        <f>C77+C78+C79+C80+C81</f>
        <v/>
      </c>
      <c r="D82" s="6">
        <f>D77+D78+D79+D80+D81</f>
        <v/>
      </c>
      <c r="E82" s="6">
        <f>E77+E78+E79+E80+E81</f>
        <v/>
      </c>
      <c r="F82" s="6">
        <f>F77+F78+F79+F80+F81</f>
        <v/>
      </c>
      <c r="G82" s="6">
        <f>G77+G78+G79+G80+G81</f>
        <v/>
      </c>
      <c r="H82" s="6">
        <f>H77+H78+H79+H80+H81</f>
        <v/>
      </c>
      <c r="I82" s="6">
        <f>I77+I78+I79+I80+I81</f>
        <v/>
      </c>
      <c r="J82" s="6">
        <f>J77+J78+J79+J80+J81</f>
        <v/>
      </c>
      <c r="K82" s="6">
        <f>K77+K78+K79+K80+K81</f>
        <v/>
      </c>
      <c r="L82" s="6">
        <f>L77+L78+L79+L80+L81</f>
        <v/>
      </c>
      <c r="M82" s="6">
        <f>M77+M78+M79+M80+M81</f>
        <v/>
      </c>
    </row>
    <row r="83">
      <c r="A83" t="inlineStr">
        <is>
          <t>Closing cash</t>
        </is>
      </c>
      <c r="B83" s="6">
        <f>B76+B82</f>
        <v/>
      </c>
      <c r="C83" s="6">
        <f>C76+C82</f>
        <v/>
      </c>
      <c r="D83" s="6">
        <f>D76+D82</f>
        <v/>
      </c>
      <c r="E83" s="6">
        <f>E76+E82</f>
        <v/>
      </c>
      <c r="F83" s="6">
        <f>F76+F82</f>
        <v/>
      </c>
      <c r="G83" s="6">
        <f>G76+G82</f>
        <v/>
      </c>
      <c r="H83" s="6">
        <f>H76+H82</f>
        <v/>
      </c>
      <c r="I83" s="6">
        <f>I76+I82</f>
        <v/>
      </c>
      <c r="J83" s="6">
        <f>J76+J82</f>
        <v/>
      </c>
      <c r="K83" s="6">
        <f>K76+K82</f>
        <v/>
      </c>
      <c r="L83" s="6">
        <f>L76+L82</f>
        <v/>
      </c>
      <c r="M83" s="6">
        <f>M76+M82</f>
        <v/>
      </c>
    </row>
    <row r="84">
      <c r="A84" t="inlineStr">
        <is>
          <t>Receivables</t>
        </is>
      </c>
      <c r="B84" s="5" t="n">
        <v>2607532.045821665</v>
      </c>
      <c r="C84" s="5" t="n">
        <v>2686400.145295805</v>
      </c>
      <c r="D84" s="5" t="n">
        <v>2780114.324230963</v>
      </c>
      <c r="E84" s="5" t="n">
        <v>2865212.285026478</v>
      </c>
      <c r="F84" s="5" t="n">
        <v>2957676.808475541</v>
      </c>
      <c r="G84" s="5" t="n">
        <v>3059128.809790249</v>
      </c>
      <c r="H84" s="5" t="n">
        <v>3139898.697928654</v>
      </c>
      <c r="I84" s="5" t="n">
        <v>3221118.069007407</v>
      </c>
      <c r="J84" s="5" t="n">
        <v>3319897.982194252</v>
      </c>
      <c r="K84" s="5" t="n">
        <v>3419243.924500034</v>
      </c>
      <c r="L84" s="5" t="n">
        <v>3514860.269431524</v>
      </c>
      <c r="M84" s="5" t="n">
        <v>3628298.683641464</v>
      </c>
    </row>
    <row r="85">
      <c r="A85" t="inlineStr">
        <is>
          <t>Deferred revenue</t>
        </is>
      </c>
      <c r="B85" s="5" t="n">
        <v>3824380.333871776</v>
      </c>
      <c r="C85" s="5" t="n">
        <v>3940053.546433846</v>
      </c>
      <c r="D85" s="5" t="n">
        <v>4077501.008872079</v>
      </c>
      <c r="E85" s="5" t="n">
        <v>4202311.351372168</v>
      </c>
      <c r="F85" s="5" t="n">
        <v>4337925.985764128</v>
      </c>
      <c r="G85" s="5" t="n">
        <v>4486722.254359033</v>
      </c>
      <c r="H85" s="5" t="n">
        <v>4605184.756962026</v>
      </c>
      <c r="I85" s="5" t="n">
        <v>4724306.501210865</v>
      </c>
      <c r="J85" s="5" t="n">
        <v>4869183.707218236</v>
      </c>
      <c r="K85" s="5" t="n">
        <v>5014891.089266717</v>
      </c>
      <c r="L85" s="5" t="n">
        <v>5155128.395166236</v>
      </c>
      <c r="M85" s="5" t="n">
        <v>5321504.736007481</v>
      </c>
    </row>
    <row r="86">
      <c r="A86" t="inlineStr">
        <is>
          <t>Net burn, trailing 3 months</t>
        </is>
      </c>
      <c r="B86" s="5" t="n">
        <v>870178.1773493127</v>
      </c>
      <c r="C86" s="5" t="n">
        <v>949388.4597475936</v>
      </c>
      <c r="D86" s="5" t="n">
        <v>983896.7604960633</v>
      </c>
      <c r="E86" s="5" t="n">
        <v>999299.7298796816</v>
      </c>
      <c r="F86" s="5" t="n">
        <v>949941.0620497139</v>
      </c>
      <c r="G86" s="5" t="n">
        <v>888896.7233664818</v>
      </c>
      <c r="H86" s="5" t="n">
        <v>817367.0902256499</v>
      </c>
      <c r="I86" s="5" t="n">
        <v>742031.5828190387</v>
      </c>
      <c r="J86" s="5" t="n">
        <v>683340.3348790476</v>
      </c>
      <c r="K86" s="5" t="n">
        <v>661361.2542280707</v>
      </c>
      <c r="L86" s="5" t="n">
        <v>628533.0712719845</v>
      </c>
      <c r="M86" s="5" t="n">
        <v>592843.5819335181</v>
      </c>
    </row>
    <row r="87">
      <c r="A87" t="inlineStr">
        <is>
          <t>Runway (months)</t>
        </is>
      </c>
      <c r="B87" s="8" t="n">
        <v>6.32297455022904</v>
      </c>
      <c r="C87" s="8" t="n">
        <v>4.711997161402045</v>
      </c>
      <c r="D87" s="8" t="n">
        <v>3.476586673261238</v>
      </c>
      <c r="E87" s="8" t="n">
        <v>2.505970135913941</v>
      </c>
      <c r="F87" s="8" t="n">
        <v>1.709256085578503</v>
      </c>
      <c r="G87" s="8" t="n">
        <v>0.8481437443607762</v>
      </c>
      <c r="H87" s="8" t="n">
        <v>0.06375838940862513</v>
      </c>
      <c r="I87" s="8" t="n">
        <v>-0.8118282579282695</v>
      </c>
      <c r="J87" s="8" t="n">
        <v>-1.896725164863103</v>
      </c>
      <c r="K87" s="8" t="n">
        <v>-2.921201901539835</v>
      </c>
      <c r="L87" s="8" t="n">
        <v>-3.958425633815311</v>
      </c>
      <c r="M87" s="8" t="n">
        <v>-5.186257638319876</v>
      </c>
    </row>
    <row r="88">
      <c r="A88" s="2" t="inlineStr">
        <is>
          <t>Shaded yellow: values from the model. Shaded blue: Excel formulas.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January to August 2026, actual versus budget. impact = effect on EBITDA (favorable positive). Components sum to the EBITDA variance.</t>
        </is>
      </c>
    </row>
    <row r="3">
      <c r="A3" s="3" t="inlineStr">
        <is>
          <t>line_label</t>
        </is>
      </c>
      <c r="B3" s="3" t="inlineStr">
        <is>
          <t>component</t>
        </is>
      </c>
      <c r="C3" s="3" t="inlineStr">
        <is>
          <t>budget</t>
        </is>
      </c>
      <c r="D3" s="3" t="inlineStr">
        <is>
          <t>actual</t>
        </is>
      </c>
      <c r="E3" s="3" t="inlineStr">
        <is>
          <t>impact</t>
        </is>
      </c>
      <c r="F3" s="3" t="inlineStr">
        <is>
          <t>material</t>
        </is>
      </c>
    </row>
    <row r="4">
      <c r="A4" t="inlineStr">
        <is>
          <t>Platform revenue</t>
        </is>
      </c>
      <c r="B4" t="inlineStr">
        <is>
          <t>volume</t>
        </is>
      </c>
      <c r="C4" t="n">
        <v>14329758.93119732</v>
      </c>
      <c r="D4" t="n">
        <v>13868284.09429593</v>
      </c>
      <c r="E4" t="n">
        <v>-560502.2800195992</v>
      </c>
      <c r="F4" t="b">
        <v>1</v>
      </c>
    </row>
    <row r="5">
      <c r="A5" t="inlineStr">
        <is>
          <t>Platform revenue</t>
        </is>
      </c>
      <c r="B5" t="inlineStr">
        <is>
          <t>price</t>
        </is>
      </c>
      <c r="C5" t="n">
        <v>14329758.93119732</v>
      </c>
      <c r="D5" t="n">
        <v>13868284.09429593</v>
      </c>
      <c r="E5" t="n">
        <v>99027.44311820748</v>
      </c>
      <c r="F5" t="b">
        <v>0</v>
      </c>
    </row>
    <row r="6">
      <c r="A6" t="inlineStr">
        <is>
          <t>Insights revenue</t>
        </is>
      </c>
      <c r="B6" t="inlineStr">
        <is>
          <t>volume</t>
        </is>
      </c>
      <c r="C6" t="n">
        <v>1214961.859187185</v>
      </c>
      <c r="D6" t="n">
        <v>1144051.700907915</v>
      </c>
      <c r="E6" t="n">
        <v>-70910.1582792699</v>
      </c>
      <c r="F6" t="b">
        <v>1</v>
      </c>
    </row>
    <row r="7">
      <c r="A7" t="inlineStr">
        <is>
          <t>Insights revenue</t>
        </is>
      </c>
      <c r="B7" t="inlineStr">
        <is>
          <t>price</t>
        </is>
      </c>
      <c r="C7" t="n">
        <v>1214961.859187185</v>
      </c>
      <c r="D7" t="n">
        <v>1144051.700907915</v>
      </c>
      <c r="E7" t="n">
        <v>1.134098173366041e-10</v>
      </c>
      <c r="F7" t="b">
        <v>0</v>
      </c>
    </row>
    <row r="8">
      <c r="A8" t="inlineStr">
        <is>
          <t>Cloud hosting</t>
        </is>
      </c>
      <c r="B8" t="inlineStr">
        <is>
          <t>usage</t>
        </is>
      </c>
      <c r="C8" t="n">
        <v>1234188.16274944</v>
      </c>
      <c r="D8" t="n">
        <v>1338077.250158681</v>
      </c>
      <c r="E8" t="n">
        <v>-103889.0874092407</v>
      </c>
      <c r="F8" t="b">
        <v>1</v>
      </c>
    </row>
    <row r="9">
      <c r="A9" t="inlineStr">
        <is>
          <t>Cloud hosting</t>
        </is>
      </c>
      <c r="B9" t="inlineStr">
        <is>
          <t>rate</t>
        </is>
      </c>
      <c r="C9" t="n">
        <v>1234188.16274944</v>
      </c>
      <c r="D9" t="n">
        <v>1338077.250158681</v>
      </c>
      <c r="E9" t="n">
        <v>-7.788658754456221e-11</v>
      </c>
      <c r="F9" t="b">
        <v>0</v>
      </c>
    </row>
    <row r="10">
      <c r="A10" t="inlineStr">
        <is>
          <t>Cloud hosting</t>
        </is>
      </c>
      <c r="B10" t="inlineStr">
        <is>
          <t>fixed</t>
        </is>
      </c>
      <c r="C10" t="n">
        <v>1234188.16274944</v>
      </c>
      <c r="D10" t="n">
        <v>1338077.250158681</v>
      </c>
      <c r="E10" t="n">
        <v>0</v>
      </c>
      <c r="F10" t="b">
        <v>0</v>
      </c>
    </row>
    <row r="11">
      <c r="A11" t="inlineStr">
        <is>
          <t>Customer operations payroll</t>
        </is>
      </c>
      <c r="B11" t="inlineStr">
        <is>
          <t>headcount</t>
        </is>
      </c>
      <c r="C11" t="n">
        <v>2269988.762557878</v>
      </c>
      <c r="D11" t="n">
        <v>2246332.302035569</v>
      </c>
      <c r="E11" t="n">
        <v>16771.97721887752</v>
      </c>
      <c r="F11" t="b">
        <v>0</v>
      </c>
    </row>
    <row r="12">
      <c r="A12" t="inlineStr">
        <is>
          <t>Customer operations payroll</t>
        </is>
      </c>
      <c r="B12" t="inlineStr">
        <is>
          <t>rate</t>
        </is>
      </c>
      <c r="C12" t="n">
        <v>2269988.762557878</v>
      </c>
      <c r="D12" t="n">
        <v>2246332.302035569</v>
      </c>
      <c r="E12" t="n">
        <v>6884.483303431585</v>
      </c>
      <c r="F12" t="b">
        <v>0</v>
      </c>
    </row>
    <row r="13">
      <c r="A13" t="inlineStr">
        <is>
          <t>R&amp;D payroll</t>
        </is>
      </c>
      <c r="B13" t="inlineStr">
        <is>
          <t>headcount</t>
        </is>
      </c>
      <c r="C13" t="n">
        <v>7494856.861779308</v>
      </c>
      <c r="D13" t="n">
        <v>7123324.80712226</v>
      </c>
      <c r="E13" t="n">
        <v>410908.1007385498</v>
      </c>
      <c r="F13" t="b">
        <v>1</v>
      </c>
    </row>
    <row r="14">
      <c r="A14" t="inlineStr">
        <is>
          <t>R&amp;D payroll</t>
        </is>
      </c>
      <c r="B14" t="inlineStr">
        <is>
          <t>rate</t>
        </is>
      </c>
      <c r="C14" t="n">
        <v>7494856.861779308</v>
      </c>
      <c r="D14" t="n">
        <v>7123324.80712226</v>
      </c>
      <c r="E14" t="n">
        <v>-39376.04608150264</v>
      </c>
      <c r="F14" t="b">
        <v>0</v>
      </c>
    </row>
    <row r="15">
      <c r="A15" t="inlineStr">
        <is>
          <t>Sales and marketing payroll</t>
        </is>
      </c>
      <c r="B15" t="inlineStr">
        <is>
          <t>headcount</t>
        </is>
      </c>
      <c r="C15" t="n">
        <v>2776935.933093613</v>
      </c>
      <c r="D15" t="n">
        <v>2556186.395839022</v>
      </c>
      <c r="E15" t="n">
        <v>187083.4538587654</v>
      </c>
      <c r="F15" t="b">
        <v>1</v>
      </c>
    </row>
    <row r="16">
      <c r="A16" t="inlineStr">
        <is>
          <t>Sales and marketing payroll</t>
        </is>
      </c>
      <c r="B16" t="inlineStr">
        <is>
          <t>rate</t>
        </is>
      </c>
      <c r="C16" t="n">
        <v>2776935.933093613</v>
      </c>
      <c r="D16" t="n">
        <v>2556186.395839022</v>
      </c>
      <c r="E16" t="n">
        <v>33666.08339582533</v>
      </c>
      <c r="F16" t="b">
        <v>0</v>
      </c>
    </row>
    <row r="17">
      <c r="A17" t="inlineStr">
        <is>
          <t>G&amp;A payroll</t>
        </is>
      </c>
      <c r="B17" t="inlineStr">
        <is>
          <t>headcount</t>
        </is>
      </c>
      <c r="C17" t="n">
        <v>1987184.178418253</v>
      </c>
      <c r="D17" t="n">
        <v>1996081.836334359</v>
      </c>
      <c r="E17" t="n">
        <v>10374.71978784816</v>
      </c>
      <c r="F17" t="b">
        <v>0</v>
      </c>
    </row>
    <row r="18">
      <c r="A18" t="inlineStr">
        <is>
          <t>G&amp;A payroll</t>
        </is>
      </c>
      <c r="B18" t="inlineStr">
        <is>
          <t>rate</t>
        </is>
      </c>
      <c r="C18" t="n">
        <v>1987184.178418253</v>
      </c>
      <c r="D18" t="n">
        <v>1996081.836334359</v>
      </c>
      <c r="E18" t="n">
        <v>-19272.37770395362</v>
      </c>
      <c r="F18" t="b">
        <v>0</v>
      </c>
    </row>
    <row r="19">
      <c r="A19" t="inlineStr">
        <is>
          <t>Marketing programmes</t>
        </is>
      </c>
      <c r="B19" t="inlineStr">
        <is>
          <t>volume</t>
        </is>
      </c>
      <c r="C19" t="n">
        <v>3402630</v>
      </c>
      <c r="D19" t="n">
        <v>3036500</v>
      </c>
      <c r="E19" t="n">
        <v>742630.0000000002</v>
      </c>
      <c r="F19" t="b">
        <v>1</v>
      </c>
    </row>
    <row r="20">
      <c r="A20" t="inlineStr">
        <is>
          <t>Marketing programmes</t>
        </is>
      </c>
      <c r="B20" t="inlineStr">
        <is>
          <t>rate</t>
        </is>
      </c>
      <c r="C20" t="n">
        <v>3402630</v>
      </c>
      <c r="D20" t="n">
        <v>3036500</v>
      </c>
      <c r="E20" t="n">
        <v>-376500</v>
      </c>
      <c r="F20" t="b">
        <v>1</v>
      </c>
    </row>
    <row r="21">
      <c r="A21" t="inlineStr">
        <is>
          <t>Third-party software and data</t>
        </is>
      </c>
      <c r="B21" t="inlineStr">
        <is>
          <t>spend</t>
        </is>
      </c>
      <c r="C21" t="n">
        <v>466341.6237115352</v>
      </c>
      <c r="D21" t="n">
        <v>450370.0738561154</v>
      </c>
      <c r="E21" t="n">
        <v>15971.54985541986</v>
      </c>
      <c r="F21" t="b">
        <v>0</v>
      </c>
    </row>
    <row r="22">
      <c r="A22" t="inlineStr">
        <is>
          <t>Payment processing</t>
        </is>
      </c>
      <c r="B22" t="inlineStr">
        <is>
          <t>spend</t>
        </is>
      </c>
      <c r="C22" t="n">
        <v>233170.8118557676</v>
      </c>
      <c r="D22" t="n">
        <v>225185.0369280577</v>
      </c>
      <c r="E22" t="n">
        <v>7985.774927709936</v>
      </c>
      <c r="F22" t="b">
        <v>0</v>
      </c>
    </row>
    <row r="23">
      <c r="A23" t="inlineStr">
        <is>
          <t>Customer operations recruiting</t>
        </is>
      </c>
      <c r="B23" t="inlineStr">
        <is>
          <t>spend</t>
        </is>
      </c>
      <c r="C23" t="n">
        <v>27000</v>
      </c>
      <c r="D23" t="n">
        <v>40294.4722179627</v>
      </c>
      <c r="E23" t="n">
        <v>-13294.4722179627</v>
      </c>
      <c r="F23" t="b">
        <v>0</v>
      </c>
    </row>
    <row r="24">
      <c r="A24" t="inlineStr">
        <is>
          <t>R&amp;D recruiting</t>
        </is>
      </c>
      <c r="B24" t="inlineStr">
        <is>
          <t>spend</t>
        </is>
      </c>
      <c r="C24" t="n">
        <v>144750</v>
      </c>
      <c r="D24" t="n">
        <v>187694.8937465691</v>
      </c>
      <c r="E24" t="n">
        <v>-42944.89374656912</v>
      </c>
      <c r="F24" t="b">
        <v>1</v>
      </c>
    </row>
    <row r="25">
      <c r="A25" t="inlineStr">
        <is>
          <t>R&amp;D tooling</t>
        </is>
      </c>
      <c r="B25" t="inlineStr">
        <is>
          <t>spend</t>
        </is>
      </c>
      <c r="C25" t="n">
        <v>257103</v>
      </c>
      <c r="D25" t="n">
        <v>243000</v>
      </c>
      <c r="E25" t="n">
        <v>14103</v>
      </c>
      <c r="F25" t="b">
        <v>0</v>
      </c>
    </row>
    <row r="26">
      <c r="A26" t="inlineStr">
        <is>
          <t>R&amp;D contractors</t>
        </is>
      </c>
      <c r="B26" t="inlineStr">
        <is>
          <t>spend</t>
        </is>
      </c>
      <c r="C26" t="n">
        <v>480000</v>
      </c>
      <c r="D26" t="n">
        <v>480000</v>
      </c>
      <c r="E26" t="n">
        <v>0</v>
      </c>
      <c r="F26" t="b">
        <v>0</v>
      </c>
    </row>
    <row r="27">
      <c r="A27" t="inlineStr">
        <is>
          <t>Sales and marketing recruiting</t>
        </is>
      </c>
      <c r="B27" t="inlineStr">
        <is>
          <t>spend</t>
        </is>
      </c>
      <c r="C27" t="n">
        <v>60750</v>
      </c>
      <c r="D27" t="n">
        <v>61867.67854668707</v>
      </c>
      <c r="E27" t="n">
        <v>-1117.678546687068</v>
      </c>
      <c r="F27" t="b">
        <v>0</v>
      </c>
    </row>
    <row r="28">
      <c r="A28" t="inlineStr">
        <is>
          <t>Sales commission</t>
        </is>
      </c>
      <c r="B28" t="inlineStr">
        <is>
          <t>spend</t>
        </is>
      </c>
      <c r="C28" t="n">
        <v>614756.7889336403</v>
      </c>
      <c r="D28" t="n">
        <v>495308.7809952305</v>
      </c>
      <c r="E28" t="n">
        <v>119448.0079384098</v>
      </c>
      <c r="F28" t="b">
        <v>1</v>
      </c>
    </row>
    <row r="29">
      <c r="A29" t="inlineStr">
        <is>
          <t>G&amp;A recruiting</t>
        </is>
      </c>
      <c r="B29" t="inlineStr">
        <is>
          <t>spend</t>
        </is>
      </c>
      <c r="C29" t="n">
        <v>13500</v>
      </c>
      <c r="D29" t="n">
        <v>26535.62716803014</v>
      </c>
      <c r="E29" t="n">
        <v>-13035.62716803015</v>
      </c>
      <c r="F29" t="b">
        <v>0</v>
      </c>
    </row>
    <row r="30">
      <c r="A30" t="inlineStr">
        <is>
          <t>Rent</t>
        </is>
      </c>
      <c r="B30" t="inlineStr">
        <is>
          <t>spend</t>
        </is>
      </c>
      <c r="C30" t="n">
        <v>562961</v>
      </c>
      <c r="D30" t="n">
        <v>537250</v>
      </c>
      <c r="E30" t="n">
        <v>25711</v>
      </c>
      <c r="F30" t="b">
        <v>1</v>
      </c>
    </row>
    <row r="31">
      <c r="A31" t="inlineStr">
        <is>
          <t>Software seats</t>
        </is>
      </c>
      <c r="B31" t="inlineStr">
        <is>
          <t>spend</t>
        </is>
      </c>
      <c r="C31" t="n">
        <v>205682.4</v>
      </c>
      <c r="D31" t="n">
        <v>196740</v>
      </c>
      <c r="E31" t="n">
        <v>8942.399999999991</v>
      </c>
      <c r="F31" t="b">
        <v>0</v>
      </c>
    </row>
    <row r="32">
      <c r="A32" t="inlineStr">
        <is>
          <t>Fixed G&amp;A</t>
        </is>
      </c>
      <c r="B32" t="inlineStr">
        <is>
          <t>spend</t>
        </is>
      </c>
      <c r="C32" t="n">
        <v>600000</v>
      </c>
      <c r="D32" t="n">
        <v>600000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Plan base: P&amp;L</t>
        </is>
      </c>
    </row>
    <row r="2">
      <c r="A2" s="2" t="inlineStr">
        <is>
          <t>USD, monthly</t>
        </is>
      </c>
      <c r="B2" s="4" t="inlineStr">
        <is>
          <t>2026-09</t>
        </is>
      </c>
      <c r="C2" s="4" t="inlineStr">
        <is>
          <t>2026-10</t>
        </is>
      </c>
      <c r="D2" s="4" t="inlineStr">
        <is>
          <t>2026-11</t>
        </is>
      </c>
      <c r="E2" s="4" t="inlineStr">
        <is>
          <t>2026-12</t>
        </is>
      </c>
      <c r="F2" s="4" t="inlineStr">
        <is>
          <t>2027-01</t>
        </is>
      </c>
      <c r="G2" s="4" t="inlineStr">
        <is>
          <t>2027-02</t>
        </is>
      </c>
      <c r="H2" s="4" t="inlineStr">
        <is>
          <t>2027-03</t>
        </is>
      </c>
      <c r="I2" s="4" t="inlineStr">
        <is>
          <t>2027-04</t>
        </is>
      </c>
      <c r="J2" s="4" t="inlineStr">
        <is>
          <t>2027-05</t>
        </is>
      </c>
      <c r="K2" s="4" t="inlineStr">
        <is>
          <t>2027-06</t>
        </is>
      </c>
      <c r="L2" s="4" t="inlineStr">
        <is>
          <t>2027-07</t>
        </is>
      </c>
      <c r="M2" s="4" t="inlineStr">
        <is>
          <t>2027-08</t>
        </is>
      </c>
      <c r="N2" s="4" t="inlineStr">
        <is>
          <t>2027-09</t>
        </is>
      </c>
      <c r="O2" s="4" t="inlineStr">
        <is>
          <t>2027-10</t>
        </is>
      </c>
      <c r="P2" s="4" t="inlineStr">
        <is>
          <t>2027-11</t>
        </is>
      </c>
      <c r="Q2" s="4" t="inlineStr">
        <is>
          <t>2027-12</t>
        </is>
      </c>
      <c r="R2" s="4" t="inlineStr">
        <is>
          <t>2028-01</t>
        </is>
      </c>
      <c r="S2" s="4" t="inlineStr">
        <is>
          <t>2028-02</t>
        </is>
      </c>
    </row>
    <row r="3">
      <c r="A3" t="inlineStr">
        <is>
          <t>Platform revenue</t>
        </is>
      </c>
      <c r="B3" s="5" t="n">
        <v>1896810.246290867</v>
      </c>
      <c r="C3" s="5" t="n">
        <v>1938531.051290867</v>
      </c>
      <c r="D3" s="5" t="n">
        <v>1978974.688790867</v>
      </c>
      <c r="E3" s="5" t="n">
        <v>2028358.498790867</v>
      </c>
      <c r="F3" s="5" t="n">
        <v>2169336.68704291</v>
      </c>
      <c r="G3" s="5" t="n">
        <v>2213218.033730411</v>
      </c>
      <c r="H3" s="5" t="n">
        <v>2265667.045730411</v>
      </c>
      <c r="I3" s="5" t="n">
        <v>2312379.44704291</v>
      </c>
      <c r="J3" s="5" t="n">
        <v>2363785.43891791</v>
      </c>
      <c r="K3" s="5" t="n">
        <v>2421151.54579291</v>
      </c>
      <c r="L3" s="5" t="n">
        <v>2466113.16332416</v>
      </c>
      <c r="M3" s="5" t="n">
        <v>2511708.04307416</v>
      </c>
      <c r="N3" s="5" t="n">
        <v>2568031.12982416</v>
      </c>
      <c r="O3" s="5" t="n">
        <v>2624354.21657416</v>
      </c>
      <c r="P3" s="5" t="n">
        <v>2677995.251574161</v>
      </c>
      <c r="Q3" s="5" t="n">
        <v>2742364.493574161</v>
      </c>
      <c r="R3" s="5" t="n">
        <v>2930173.496327869</v>
      </c>
      <c r="S3" s="5" t="n">
        <v>2983680.428740369</v>
      </c>
    </row>
    <row r="4">
      <c r="A4" t="inlineStr">
        <is>
          <t>Insights revenue</t>
        </is>
      </c>
      <c r="B4" s="5" t="n">
        <v>174264.4612218586</v>
      </c>
      <c r="C4" s="5" t="n">
        <v>182865.1403929415</v>
      </c>
      <c r="D4" s="5" t="n">
        <v>191583.6252612893</v>
      </c>
      <c r="E4" s="5" t="n">
        <v>201560.3356785477</v>
      </c>
      <c r="F4" s="5" t="n">
        <v>210490.5456079289</v>
      </c>
      <c r="G4" s="5" t="n">
        <v>220156.5667035893</v>
      </c>
      <c r="H4" s="5" t="n">
        <v>231101.5814605739</v>
      </c>
      <c r="I4" s="5" t="n">
        <v>242874.1895920451</v>
      </c>
      <c r="J4" s="5" t="n">
        <v>255595.0379123605</v>
      </c>
      <c r="K4" s="5" t="n">
        <v>269489.5212337764</v>
      </c>
      <c r="L4" s="5" t="n">
        <v>282165.1977593332</v>
      </c>
      <c r="M4" s="5" t="n">
        <v>295289.6112944873</v>
      </c>
      <c r="N4" s="5" t="n">
        <v>310324.1238235337</v>
      </c>
      <c r="O4" s="5" t="n">
        <v>325820.1010219451</v>
      </c>
      <c r="P4" s="5" t="n">
        <v>341374.7900951249</v>
      </c>
      <c r="Q4" s="5" t="n">
        <v>359072.6793973255</v>
      </c>
      <c r="R4" s="5" t="n">
        <v>374707.0542244743</v>
      </c>
      <c r="S4" s="5" t="n">
        <v>391212.268740527</v>
      </c>
    </row>
    <row r="5">
      <c r="A5" t="inlineStr">
        <is>
          <t>Revenue</t>
        </is>
      </c>
      <c r="B5" s="6">
        <f>B3+B4</f>
        <v/>
      </c>
      <c r="C5" s="6">
        <f>C3+C4</f>
        <v/>
      </c>
      <c r="D5" s="6">
        <f>D3+D4</f>
        <v/>
      </c>
      <c r="E5" s="6">
        <f>E3+E4</f>
        <v/>
      </c>
      <c r="F5" s="6">
        <f>F3+F4</f>
        <v/>
      </c>
      <c r="G5" s="6">
        <f>G3+G4</f>
        <v/>
      </c>
      <c r="H5" s="6">
        <f>H3+H4</f>
        <v/>
      </c>
      <c r="I5" s="6">
        <f>I3+I4</f>
        <v/>
      </c>
      <c r="J5" s="6">
        <f>J3+J4</f>
        <v/>
      </c>
      <c r="K5" s="6">
        <f>K3+K4</f>
        <v/>
      </c>
      <c r="L5" s="6">
        <f>L3+L4</f>
        <v/>
      </c>
      <c r="M5" s="6">
        <f>M3+M4</f>
        <v/>
      </c>
      <c r="N5" s="6">
        <f>N3+N4</f>
        <v/>
      </c>
      <c r="O5" s="6">
        <f>O3+O4</f>
        <v/>
      </c>
      <c r="P5" s="6">
        <f>P3+P4</f>
        <v/>
      </c>
      <c r="Q5" s="6">
        <f>Q3+Q4</f>
        <v/>
      </c>
      <c r="R5" s="6">
        <f>R3+R4</f>
        <v/>
      </c>
      <c r="S5" s="6">
        <f>S3+S4</f>
        <v/>
      </c>
    </row>
    <row r="6">
      <c r="A6" t="inlineStr">
        <is>
          <t>Cloud hosting</t>
        </is>
      </c>
      <c r="B6" s="5" t="n">
        <v>150990.8027089918</v>
      </c>
      <c r="C6" s="5" t="n">
        <v>154738.8157502424</v>
      </c>
      <c r="D6" s="5" t="n">
        <v>158423.0314021221</v>
      </c>
      <c r="E6" s="5" t="n">
        <v>162807.6908392537</v>
      </c>
      <c r="F6" s="5" t="n">
        <v>166339.7747654351</v>
      </c>
      <c r="G6" s="5" t="n">
        <v>171538.5058962258</v>
      </c>
      <c r="H6" s="5" t="n">
        <v>177682.3187384071</v>
      </c>
      <c r="I6" s="5" t="n">
        <v>184045.3186634402</v>
      </c>
      <c r="J6" s="5" t="n">
        <v>190948.1142074826</v>
      </c>
      <c r="K6" s="5" t="n">
        <v>198540.3461715734</v>
      </c>
      <c r="L6" s="5" t="n">
        <v>204896.5397318823</v>
      </c>
      <c r="M6" s="5" t="n">
        <v>211369.15506939</v>
      </c>
      <c r="N6" s="5" t="n">
        <v>219062.9154638733</v>
      </c>
      <c r="O6" s="5" t="n">
        <v>226827.9996644158</v>
      </c>
      <c r="P6" s="5" t="n">
        <v>234360.4433568648</v>
      </c>
      <c r="Q6" s="5" t="n">
        <v>243179.3086441764</v>
      </c>
      <c r="R6" s="5" t="n">
        <v>250217.8153902703</v>
      </c>
      <c r="S6" s="5" t="n">
        <v>257616.9873154539</v>
      </c>
    </row>
    <row r="7">
      <c r="A7" t="inlineStr">
        <is>
          <t>Third-party software and data</t>
        </is>
      </c>
      <c r="B7" s="5" t="n">
        <v>62132.24122538177</v>
      </c>
      <c r="C7" s="5" t="n">
        <v>63641.88575051426</v>
      </c>
      <c r="D7" s="5" t="n">
        <v>65116.74942156469</v>
      </c>
      <c r="E7" s="5" t="n">
        <v>66897.56503408244</v>
      </c>
      <c r="F7" s="5" t="n">
        <v>71394.81697952517</v>
      </c>
      <c r="G7" s="5" t="n">
        <v>73001.23801301999</v>
      </c>
      <c r="H7" s="5" t="n">
        <v>74903.05881572954</v>
      </c>
      <c r="I7" s="5" t="n">
        <v>76657.60909904867</v>
      </c>
      <c r="J7" s="5" t="n">
        <v>78581.41430490812</v>
      </c>
      <c r="K7" s="5" t="n">
        <v>80719.23201080061</v>
      </c>
      <c r="L7" s="5" t="n">
        <v>82448.35083250479</v>
      </c>
      <c r="M7" s="5" t="n">
        <v>84209.92963105944</v>
      </c>
      <c r="N7" s="5" t="n">
        <v>86350.65760943081</v>
      </c>
      <c r="O7" s="5" t="n">
        <v>88505.22952788316</v>
      </c>
      <c r="P7" s="5" t="n">
        <v>90581.10125007856</v>
      </c>
      <c r="Q7" s="5" t="n">
        <v>93043.11518914458</v>
      </c>
      <c r="R7" s="5" t="n">
        <v>99146.4165165703</v>
      </c>
      <c r="S7" s="5" t="n">
        <v>101246.7809244269</v>
      </c>
    </row>
    <row r="8">
      <c r="A8" t="inlineStr">
        <is>
          <t>Payment processing</t>
        </is>
      </c>
      <c r="B8" s="5" t="n">
        <v>31066.12061269089</v>
      </c>
      <c r="C8" s="5" t="n">
        <v>31820.94287525713</v>
      </c>
      <c r="D8" s="5" t="n">
        <v>32558.37471078235</v>
      </c>
      <c r="E8" s="5" t="n">
        <v>33448.78251704122</v>
      </c>
      <c r="F8" s="5" t="n">
        <v>35697.40848976259</v>
      </c>
      <c r="G8" s="5" t="n">
        <v>36500.61900650999</v>
      </c>
      <c r="H8" s="5" t="n">
        <v>37451.52940786477</v>
      </c>
      <c r="I8" s="5" t="n">
        <v>38328.80454952434</v>
      </c>
      <c r="J8" s="5" t="n">
        <v>39290.70715245406</v>
      </c>
      <c r="K8" s="5" t="n">
        <v>40359.6160054003</v>
      </c>
      <c r="L8" s="5" t="n">
        <v>41224.1754162524</v>
      </c>
      <c r="M8" s="5" t="n">
        <v>42104.96481552972</v>
      </c>
      <c r="N8" s="5" t="n">
        <v>43175.32880471541</v>
      </c>
      <c r="O8" s="5" t="n">
        <v>44252.61476394159</v>
      </c>
      <c r="P8" s="5" t="n">
        <v>45290.55062503929</v>
      </c>
      <c r="Q8" s="5" t="n">
        <v>46521.5575945723</v>
      </c>
      <c r="R8" s="5" t="n">
        <v>49573.20825828516</v>
      </c>
      <c r="S8" s="5" t="n">
        <v>50623.39046221344</v>
      </c>
    </row>
    <row r="9">
      <c r="A9" t="inlineStr">
        <is>
          <t>Customer operations payroll</t>
        </is>
      </c>
      <c r="B9" s="5" t="n">
        <v>276901.4809193134</v>
      </c>
      <c r="C9" s="5" t="n">
        <v>276901.4809193134</v>
      </c>
      <c r="D9" s="5" t="n">
        <v>276901.4809193134</v>
      </c>
      <c r="E9" s="5" t="n">
        <v>276901.4809193134</v>
      </c>
      <c r="F9" s="5" t="n">
        <v>286593.0327514894</v>
      </c>
      <c r="G9" s="5" t="n">
        <v>286593.0327514894</v>
      </c>
      <c r="H9" s="5" t="n">
        <v>286593.0327514894</v>
      </c>
      <c r="I9" s="5" t="n">
        <v>286593.0327514894</v>
      </c>
      <c r="J9" s="5" t="n">
        <v>286593.0327514894</v>
      </c>
      <c r="K9" s="5" t="n">
        <v>286593.0327514894</v>
      </c>
      <c r="L9" s="5" t="n">
        <v>286593.0327514894</v>
      </c>
      <c r="M9" s="5" t="n">
        <v>286593.0327514894</v>
      </c>
      <c r="N9" s="5" t="n">
        <v>286593.0327514894</v>
      </c>
      <c r="O9" s="5" t="n">
        <v>286593.0327514894</v>
      </c>
      <c r="P9" s="5" t="n">
        <v>286593.0327514894</v>
      </c>
      <c r="Q9" s="5" t="n">
        <v>296234.7627514894</v>
      </c>
      <c r="R9" s="5" t="n">
        <v>306602.9794477915</v>
      </c>
      <c r="S9" s="5" t="n">
        <v>306602.9794477915</v>
      </c>
    </row>
    <row r="10">
      <c r="A10" t="inlineStr">
        <is>
          <t>Customer operations recruiting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13500</v>
      </c>
      <c r="R10" s="5" t="n">
        <v>0</v>
      </c>
      <c r="S10" s="5" t="n">
        <v>0</v>
      </c>
    </row>
    <row r="11">
      <c r="A11" t="inlineStr">
        <is>
          <t>Cost of revenue</t>
        </is>
      </c>
      <c r="B11" s="6">
        <f>B6+B7+B8+B9+B10</f>
        <v/>
      </c>
      <c r="C11" s="6">
        <f>C6+C7+C8+C9+C10</f>
        <v/>
      </c>
      <c r="D11" s="6">
        <f>D6+D7+D8+D9+D10</f>
        <v/>
      </c>
      <c r="E11" s="6">
        <f>E6+E7+E8+E9+E10</f>
        <v/>
      </c>
      <c r="F11" s="6">
        <f>F6+F7+F8+F9+F10</f>
        <v/>
      </c>
      <c r="G11" s="6">
        <f>G6+G7+G8+G9+G10</f>
        <v/>
      </c>
      <c r="H11" s="6">
        <f>H6+H7+H8+H9+H10</f>
        <v/>
      </c>
      <c r="I11" s="6">
        <f>I6+I7+I8+I9+I10</f>
        <v/>
      </c>
      <c r="J11" s="6">
        <f>J6+J7+J8+J9+J10</f>
        <v/>
      </c>
      <c r="K11" s="6">
        <f>K6+K7+K8+K9+K10</f>
        <v/>
      </c>
      <c r="L11" s="6">
        <f>L6+L7+L8+L9+L10</f>
        <v/>
      </c>
      <c r="M11" s="6">
        <f>M6+M7+M8+M9+M10</f>
        <v/>
      </c>
      <c r="N11" s="6">
        <f>N6+N7+N8+N9+N10</f>
        <v/>
      </c>
      <c r="O11" s="6">
        <f>O6+O7+O8+O9+O10</f>
        <v/>
      </c>
      <c r="P11" s="6">
        <f>P6+P7+P8+P9+P10</f>
        <v/>
      </c>
      <c r="Q11" s="6">
        <f>Q6+Q7+Q8+Q9+Q10</f>
        <v/>
      </c>
      <c r="R11" s="6">
        <f>R6+R7+R8+R9+R10</f>
        <v/>
      </c>
      <c r="S11" s="6">
        <f>S6+S7+S8+S9+S10</f>
        <v/>
      </c>
    </row>
    <row r="12">
      <c r="A12" t="inlineStr">
        <is>
          <t>Gross profit</t>
        </is>
      </c>
      <c r="B12" s="6">
        <f>B5-B11</f>
        <v/>
      </c>
      <c r="C12" s="6">
        <f>C5-C11</f>
        <v/>
      </c>
      <c r="D12" s="6">
        <f>D5-D11</f>
        <v/>
      </c>
      <c r="E12" s="6">
        <f>E5-E11</f>
        <v/>
      </c>
      <c r="F12" s="6">
        <f>F5-F11</f>
        <v/>
      </c>
      <c r="G12" s="6">
        <f>G5-G11</f>
        <v/>
      </c>
      <c r="H12" s="6">
        <f>H5-H11</f>
        <v/>
      </c>
      <c r="I12" s="6">
        <f>I5-I11</f>
        <v/>
      </c>
      <c r="J12" s="6">
        <f>J5-J11</f>
        <v/>
      </c>
      <c r="K12" s="6">
        <f>K5-K11</f>
        <v/>
      </c>
      <c r="L12" s="6">
        <f>L5-L11</f>
        <v/>
      </c>
      <c r="M12" s="6">
        <f>M5-M11</f>
        <v/>
      </c>
      <c r="N12" s="6">
        <f>N5-N11</f>
        <v/>
      </c>
      <c r="O12" s="6">
        <f>O5-O11</f>
        <v/>
      </c>
      <c r="P12" s="6">
        <f>P5-P11</f>
        <v/>
      </c>
      <c r="Q12" s="6">
        <f>Q5-Q11</f>
        <v/>
      </c>
      <c r="R12" s="6">
        <f>R5-R11</f>
        <v/>
      </c>
      <c r="S12" s="6">
        <f>S5-S11</f>
        <v/>
      </c>
    </row>
    <row r="13">
      <c r="A13" t="inlineStr">
        <is>
          <t>Gross margin</t>
        </is>
      </c>
      <c r="B13" s="7">
        <f>IF(B5=0,0,B12/B5)</f>
        <v/>
      </c>
      <c r="C13" s="7">
        <f>IF(C5=0,0,C12/C5)</f>
        <v/>
      </c>
      <c r="D13" s="7">
        <f>IF(D5=0,0,D12/D5)</f>
        <v/>
      </c>
      <c r="E13" s="7">
        <f>IF(E5=0,0,E12/E5)</f>
        <v/>
      </c>
      <c r="F13" s="7">
        <f>IF(F5=0,0,F12/F5)</f>
        <v/>
      </c>
      <c r="G13" s="7">
        <f>IF(G5=0,0,G12/G5)</f>
        <v/>
      </c>
      <c r="H13" s="7">
        <f>IF(H5=0,0,H12/H5)</f>
        <v/>
      </c>
      <c r="I13" s="7">
        <f>IF(I5=0,0,I12/I5)</f>
        <v/>
      </c>
      <c r="J13" s="7">
        <f>IF(J5=0,0,J12/J5)</f>
        <v/>
      </c>
      <c r="K13" s="7">
        <f>IF(K5=0,0,K12/K5)</f>
        <v/>
      </c>
      <c r="L13" s="7">
        <f>IF(L5=0,0,L12/L5)</f>
        <v/>
      </c>
      <c r="M13" s="7">
        <f>IF(M5=0,0,M12/M5)</f>
        <v/>
      </c>
      <c r="N13" s="7">
        <f>IF(N5=0,0,N12/N5)</f>
        <v/>
      </c>
      <c r="O13" s="7">
        <f>IF(O5=0,0,O12/O5)</f>
        <v/>
      </c>
      <c r="P13" s="7">
        <f>IF(P5=0,0,P12/P5)</f>
        <v/>
      </c>
      <c r="Q13" s="7">
        <f>IF(Q5=0,0,Q12/Q5)</f>
        <v/>
      </c>
      <c r="R13" s="7">
        <f>IF(R5=0,0,R12/R5)</f>
        <v/>
      </c>
      <c r="S13" s="7">
        <f>IF(S5=0,0,S12/S5)</f>
        <v/>
      </c>
    </row>
    <row r="14">
      <c r="A14" t="inlineStr">
        <is>
          <t>R&amp;D payroll</t>
        </is>
      </c>
      <c r="B14" s="5" t="n">
        <v>917162.2833986612</v>
      </c>
      <c r="C14" s="5" t="n">
        <v>942862.7833986612</v>
      </c>
      <c r="D14" s="5" t="n">
        <v>983087.5367319945</v>
      </c>
      <c r="E14" s="5" t="n">
        <v>983087.5367319945</v>
      </c>
      <c r="F14" s="5" t="n">
        <v>1054404.033850948</v>
      </c>
      <c r="G14" s="5" t="n">
        <v>1067983.403850948</v>
      </c>
      <c r="H14" s="5" t="n">
        <v>1087515.783850948</v>
      </c>
      <c r="I14" s="5" t="n">
        <v>1087515.783850948</v>
      </c>
      <c r="J14" s="5" t="n">
        <v>1108208.157184281</v>
      </c>
      <c r="K14" s="5" t="n">
        <v>1108208.157184281</v>
      </c>
      <c r="L14" s="5" t="n">
        <v>1108208.157184281</v>
      </c>
      <c r="M14" s="5" t="n">
        <v>1108208.157184281</v>
      </c>
      <c r="N14" s="5" t="n">
        <v>1108208.157184281</v>
      </c>
      <c r="O14" s="5" t="n">
        <v>1108208.157184281</v>
      </c>
      <c r="P14" s="5" t="n">
        <v>1108208.157184281</v>
      </c>
      <c r="Q14" s="5" t="n">
        <v>1108208.157184281</v>
      </c>
      <c r="R14" s="5" t="n">
        <v>1146995.442685731</v>
      </c>
      <c r="S14" s="5" t="n">
        <v>1146995.442685731</v>
      </c>
    </row>
    <row r="15">
      <c r="A15" t="inlineStr">
        <is>
          <t>R&amp;D recruiting</t>
        </is>
      </c>
      <c r="B15" s="5" t="n">
        <v>0</v>
      </c>
      <c r="C15" s="5" t="n">
        <v>37500</v>
      </c>
      <c r="D15" s="5" t="n">
        <v>52500</v>
      </c>
      <c r="E15" s="5" t="n">
        <v>0</v>
      </c>
      <c r="F15" s="5" t="n">
        <v>46500</v>
      </c>
      <c r="G15" s="5" t="n">
        <v>15750</v>
      </c>
      <c r="H15" s="5" t="n">
        <v>28500</v>
      </c>
      <c r="I15" s="5" t="n">
        <v>0</v>
      </c>
      <c r="J15" s="5" t="n">
        <v>24000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</row>
    <row r="16">
      <c r="A16" t="inlineStr">
        <is>
          <t>R&amp;D tooling</t>
        </is>
      </c>
      <c r="B16" s="5" t="n">
        <v>31752</v>
      </c>
      <c r="C16" s="5" t="n">
        <v>32634</v>
      </c>
      <c r="D16" s="5" t="n">
        <v>34398</v>
      </c>
      <c r="E16" s="5" t="n">
        <v>34398</v>
      </c>
      <c r="F16" s="5" t="n">
        <v>35721</v>
      </c>
      <c r="G16" s="5" t="n">
        <v>36162</v>
      </c>
      <c r="H16" s="5" t="n">
        <v>37044</v>
      </c>
      <c r="I16" s="5" t="n">
        <v>37044</v>
      </c>
      <c r="J16" s="5" t="n">
        <v>37926</v>
      </c>
      <c r="K16" s="5" t="n">
        <v>37926</v>
      </c>
      <c r="L16" s="5" t="n">
        <v>37926</v>
      </c>
      <c r="M16" s="5" t="n">
        <v>37926</v>
      </c>
      <c r="N16" s="5" t="n">
        <v>37926</v>
      </c>
      <c r="O16" s="5" t="n">
        <v>37926</v>
      </c>
      <c r="P16" s="5" t="n">
        <v>37926</v>
      </c>
      <c r="Q16" s="5" t="n">
        <v>37926</v>
      </c>
      <c r="R16" s="5" t="n">
        <v>37926</v>
      </c>
      <c r="S16" s="5" t="n">
        <v>37926</v>
      </c>
    </row>
    <row r="17">
      <c r="A17" t="inlineStr">
        <is>
          <t>R&amp;D contractors</t>
        </is>
      </c>
      <c r="B17" s="5" t="n">
        <v>60000</v>
      </c>
      <c r="C17" s="5" t="n">
        <v>60000</v>
      </c>
      <c r="D17" s="5" t="n">
        <v>60000</v>
      </c>
      <c r="E17" s="5" t="n">
        <v>60000</v>
      </c>
      <c r="F17" s="5" t="n">
        <v>60000</v>
      </c>
      <c r="G17" s="5" t="n">
        <v>60000</v>
      </c>
      <c r="H17" s="5" t="n">
        <v>60000</v>
      </c>
      <c r="I17" s="5" t="n">
        <v>60000</v>
      </c>
      <c r="J17" s="5" t="n">
        <v>60000</v>
      </c>
      <c r="K17" s="5" t="n">
        <v>60000</v>
      </c>
      <c r="L17" s="5" t="n">
        <v>60000</v>
      </c>
      <c r="M17" s="5" t="n">
        <v>60000</v>
      </c>
      <c r="N17" s="5" t="n">
        <v>60000</v>
      </c>
      <c r="O17" s="5" t="n">
        <v>60000</v>
      </c>
      <c r="P17" s="5" t="n">
        <v>60000</v>
      </c>
      <c r="Q17" s="5" t="n">
        <v>60000</v>
      </c>
      <c r="R17" s="5" t="n">
        <v>60000</v>
      </c>
      <c r="S17" s="5" t="n">
        <v>60000</v>
      </c>
    </row>
    <row r="18">
      <c r="A18" t="inlineStr">
        <is>
          <t>R&amp;D total</t>
        </is>
      </c>
      <c r="B18" s="6">
        <f>B14+B15+B16+B17</f>
        <v/>
      </c>
      <c r="C18" s="6">
        <f>C14+C15+C16+C17</f>
        <v/>
      </c>
      <c r="D18" s="6">
        <f>D14+D15+D16+D17</f>
        <v/>
      </c>
      <c r="E18" s="6">
        <f>E14+E15+E16+E17</f>
        <v/>
      </c>
      <c r="F18" s="6">
        <f>F14+F15+F16+F17</f>
        <v/>
      </c>
      <c r="G18" s="6">
        <f>G14+G15+G16+G17</f>
        <v/>
      </c>
      <c r="H18" s="6">
        <f>H14+H15+H16+H17</f>
        <v/>
      </c>
      <c r="I18" s="6">
        <f>I14+I15+I16+I17</f>
        <v/>
      </c>
      <c r="J18" s="6">
        <f>J14+J15+J16+J17</f>
        <v/>
      </c>
      <c r="K18" s="6">
        <f>K14+K15+K16+K17</f>
        <v/>
      </c>
      <c r="L18" s="6">
        <f>L14+L15+L16+L17</f>
        <v/>
      </c>
      <c r="M18" s="6">
        <f>M14+M15+M16+M17</f>
        <v/>
      </c>
      <c r="N18" s="6">
        <f>N14+N15+N16+N17</f>
        <v/>
      </c>
      <c r="O18" s="6">
        <f>O14+O15+O16+O17</f>
        <v/>
      </c>
      <c r="P18" s="6">
        <f>P14+P15+P16+P17</f>
        <v/>
      </c>
      <c r="Q18" s="6">
        <f>Q14+Q15+Q16+Q17</f>
        <v/>
      </c>
      <c r="R18" s="6">
        <f>R14+R15+R16+R17</f>
        <v/>
      </c>
      <c r="S18" s="6">
        <f>S14+S15+S16+S17</f>
        <v/>
      </c>
    </row>
    <row r="19">
      <c r="A19" t="inlineStr">
        <is>
          <t>Sales and marketing payroll</t>
        </is>
      </c>
      <c r="B19" s="5" t="n">
        <v>313737.7209094683</v>
      </c>
      <c r="C19" s="5" t="n">
        <v>324742.3042428016</v>
      </c>
      <c r="D19" s="5" t="n">
        <v>324742.3042428016</v>
      </c>
      <c r="E19" s="5" t="n">
        <v>324742.3042428016</v>
      </c>
      <c r="F19" s="5" t="n">
        <v>371122.868224633</v>
      </c>
      <c r="G19" s="5" t="n">
        <v>383978.5082246329</v>
      </c>
      <c r="H19" s="5" t="n">
        <v>383978.5082246329</v>
      </c>
      <c r="I19" s="5" t="n">
        <v>394983.0915579663</v>
      </c>
      <c r="J19" s="5" t="n">
        <v>394983.0915579663</v>
      </c>
      <c r="K19" s="5" t="n">
        <v>394983.0915579663</v>
      </c>
      <c r="L19" s="5" t="n">
        <v>394983.0915579663</v>
      </c>
      <c r="M19" s="5" t="n">
        <v>394983.0915579663</v>
      </c>
      <c r="N19" s="5" t="n">
        <v>394983.0915579663</v>
      </c>
      <c r="O19" s="5" t="n">
        <v>394983.0915579663</v>
      </c>
      <c r="P19" s="5" t="n">
        <v>394983.0915579663</v>
      </c>
      <c r="Q19" s="5" t="n">
        <v>394983.0915579663</v>
      </c>
      <c r="R19" s="5" t="n">
        <v>408807.4997624951</v>
      </c>
      <c r="S19" s="5" t="n">
        <v>408807.4997624951</v>
      </c>
    </row>
    <row r="20">
      <c r="A20" t="inlineStr">
        <is>
          <t>Sales and marketing recruiting</t>
        </is>
      </c>
      <c r="B20" s="5" t="n">
        <v>0</v>
      </c>
      <c r="C20" s="5" t="n">
        <v>16500</v>
      </c>
      <c r="D20" s="5" t="n">
        <v>0</v>
      </c>
      <c r="E20" s="5" t="n">
        <v>0</v>
      </c>
      <c r="F20" s="5" t="n">
        <v>52500</v>
      </c>
      <c r="G20" s="5" t="n">
        <v>18000</v>
      </c>
      <c r="H20" s="5" t="n">
        <v>0</v>
      </c>
      <c r="I20" s="5" t="n">
        <v>16500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</row>
    <row r="21">
      <c r="A21" t="inlineStr">
        <is>
          <t>Sales commission</t>
        </is>
      </c>
      <c r="B21" s="5" t="n">
        <v>69524.73021831657</v>
      </c>
      <c r="C21" s="5" t="n">
        <v>69962.37867354868</v>
      </c>
      <c r="D21" s="5" t="n">
        <v>68867.4261287808</v>
      </c>
      <c r="E21" s="5" t="n">
        <v>80019.88418232214</v>
      </c>
      <c r="F21" s="5" t="n">
        <v>68749.66102269893</v>
      </c>
      <c r="G21" s="5" t="n">
        <v>75413.81284245577</v>
      </c>
      <c r="H21" s="5" t="n">
        <v>86155.32361054813</v>
      </c>
      <c r="I21" s="5" t="n">
        <v>79821.57741498278</v>
      </c>
      <c r="J21" s="5" t="n">
        <v>85943.89605682304</v>
      </c>
      <c r="K21" s="5" t="n">
        <v>93635.27947487691</v>
      </c>
      <c r="L21" s="5" t="n">
        <v>79351.65888832106</v>
      </c>
      <c r="M21" s="5" t="n">
        <v>80583.21791284352</v>
      </c>
      <c r="N21" s="5" t="n">
        <v>93935.35355320436</v>
      </c>
      <c r="O21" s="5" t="n">
        <v>94526.17896776773</v>
      </c>
      <c r="P21" s="5" t="n">
        <v>91898.54228233107</v>
      </c>
      <c r="Q21" s="5" t="n">
        <v>105335.0815533438</v>
      </c>
      <c r="R21" s="5" t="n">
        <v>89596.15388855907</v>
      </c>
      <c r="S21" s="5" t="n">
        <v>94945.64297659404</v>
      </c>
    </row>
    <row r="22">
      <c r="A22" t="inlineStr">
        <is>
          <t>Marketing programmes</t>
        </is>
      </c>
      <c r="B22" s="5" t="n">
        <v>396900</v>
      </c>
      <c r="C22" s="5" t="n">
        <v>396900</v>
      </c>
      <c r="D22" s="5" t="n">
        <v>384750.0000000001</v>
      </c>
      <c r="E22" s="5" t="n">
        <v>469800</v>
      </c>
      <c r="F22" s="5" t="n">
        <v>358425</v>
      </c>
      <c r="G22" s="5" t="n">
        <v>397575.0000000001</v>
      </c>
      <c r="H22" s="5" t="n">
        <v>475200.0000000001</v>
      </c>
      <c r="I22" s="5" t="n">
        <v>423224.9999999999</v>
      </c>
      <c r="J22" s="5" t="n">
        <v>465750</v>
      </c>
      <c r="K22" s="5" t="n">
        <v>519750.0000000001</v>
      </c>
      <c r="L22" s="5" t="n">
        <v>407362.5</v>
      </c>
      <c r="M22" s="5" t="n">
        <v>413100</v>
      </c>
      <c r="N22" s="5" t="n">
        <v>510300.0000000001</v>
      </c>
      <c r="O22" s="5" t="n">
        <v>510300.0000000001</v>
      </c>
      <c r="P22" s="5" t="n">
        <v>486000</v>
      </c>
      <c r="Q22" s="5" t="n">
        <v>583199.9999999999</v>
      </c>
      <c r="R22" s="5" t="n">
        <v>437400</v>
      </c>
      <c r="S22" s="5" t="n">
        <v>461699.9999999999</v>
      </c>
    </row>
    <row r="23">
      <c r="A23" t="inlineStr">
        <is>
          <t>Sales and marketing total</t>
        </is>
      </c>
      <c r="B23" s="6">
        <f>B19+B20+B21+B22</f>
        <v/>
      </c>
      <c r="C23" s="6">
        <f>C19+C20+C21+C22</f>
        <v/>
      </c>
      <c r="D23" s="6">
        <f>D19+D20+D21+D22</f>
        <v/>
      </c>
      <c r="E23" s="6">
        <f>E19+E20+E21+E22</f>
        <v/>
      </c>
      <c r="F23" s="6">
        <f>F19+F20+F21+F22</f>
        <v/>
      </c>
      <c r="G23" s="6">
        <f>G19+G20+G21+G22</f>
        <v/>
      </c>
      <c r="H23" s="6">
        <f>H19+H20+H21+H22</f>
        <v/>
      </c>
      <c r="I23" s="6">
        <f>I19+I20+I21+I22</f>
        <v/>
      </c>
      <c r="J23" s="6">
        <f>J19+J20+J21+J22</f>
        <v/>
      </c>
      <c r="K23" s="6">
        <f>K19+K20+K21+K22</f>
        <v/>
      </c>
      <c r="L23" s="6">
        <f>L19+L20+L21+L22</f>
        <v/>
      </c>
      <c r="M23" s="6">
        <f>M19+M20+M21+M22</f>
        <v/>
      </c>
      <c r="N23" s="6">
        <f>N19+N20+N21+N22</f>
        <v/>
      </c>
      <c r="O23" s="6">
        <f>O19+O20+O21+O22</f>
        <v/>
      </c>
      <c r="P23" s="6">
        <f>P19+P20+P21+P22</f>
        <v/>
      </c>
      <c r="Q23" s="6">
        <f>Q19+Q20+Q21+Q22</f>
        <v/>
      </c>
      <c r="R23" s="6">
        <f>R19+R20+R21+R22</f>
        <v/>
      </c>
      <c r="S23" s="6">
        <f>S19+S20+S21+S22</f>
        <v/>
      </c>
    </row>
    <row r="24">
      <c r="A24" t="inlineStr">
        <is>
          <t>G&amp;A payroll</t>
        </is>
      </c>
      <c r="B24" s="5" t="n">
        <v>247823.6641526933</v>
      </c>
      <c r="C24" s="5" t="n">
        <v>247823.6641526933</v>
      </c>
      <c r="D24" s="5" t="n">
        <v>247823.6641526933</v>
      </c>
      <c r="E24" s="5" t="n">
        <v>247823.6641526933</v>
      </c>
      <c r="F24" s="5" t="n">
        <v>265749.6723980375</v>
      </c>
      <c r="G24" s="5" t="n">
        <v>265749.6723980375</v>
      </c>
      <c r="H24" s="5" t="n">
        <v>265749.6723980375</v>
      </c>
      <c r="I24" s="5" t="n">
        <v>265749.6723980375</v>
      </c>
      <c r="J24" s="5" t="n">
        <v>265749.6723980375</v>
      </c>
      <c r="K24" s="5" t="n">
        <v>265749.6723980375</v>
      </c>
      <c r="L24" s="5" t="n">
        <v>265749.6723980375</v>
      </c>
      <c r="M24" s="5" t="n">
        <v>265749.6723980375</v>
      </c>
      <c r="N24" s="5" t="n">
        <v>265749.6723980375</v>
      </c>
      <c r="O24" s="5" t="n">
        <v>265749.6723980375</v>
      </c>
      <c r="P24" s="5" t="n">
        <v>265749.6723980375</v>
      </c>
      <c r="Q24" s="5" t="n">
        <v>265749.6723980375</v>
      </c>
      <c r="R24" s="5" t="n">
        <v>275050.9109319688</v>
      </c>
      <c r="S24" s="5" t="n">
        <v>275050.9109319688</v>
      </c>
    </row>
    <row r="25">
      <c r="A25" t="inlineStr">
        <is>
          <t>G&amp;A recruiting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13500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</row>
    <row r="26">
      <c r="A26" t="inlineStr">
        <is>
          <t>Rent</t>
        </is>
      </c>
      <c r="B26" s="5" t="n">
        <v>68600</v>
      </c>
      <c r="C26" s="5" t="n">
        <v>69972</v>
      </c>
      <c r="D26" s="5" t="n">
        <v>72030</v>
      </c>
      <c r="E26" s="5" t="n">
        <v>72030</v>
      </c>
      <c r="F26" s="5" t="n">
        <v>76048</v>
      </c>
      <c r="G26" s="5" t="n">
        <v>77126</v>
      </c>
      <c r="H26" s="5" t="n">
        <v>78008</v>
      </c>
      <c r="I26" s="5" t="n">
        <v>78498</v>
      </c>
      <c r="J26" s="5" t="n">
        <v>79674</v>
      </c>
      <c r="K26" s="5" t="n">
        <v>79674</v>
      </c>
      <c r="L26" s="5" t="n">
        <v>79674</v>
      </c>
      <c r="M26" s="5" t="n">
        <v>79674</v>
      </c>
      <c r="N26" s="5" t="n">
        <v>79674</v>
      </c>
      <c r="O26" s="5" t="n">
        <v>79674</v>
      </c>
      <c r="P26" s="5" t="n">
        <v>79674</v>
      </c>
      <c r="Q26" s="5" t="n">
        <v>80164</v>
      </c>
      <c r="R26" s="5" t="n">
        <v>80164</v>
      </c>
      <c r="S26" s="5" t="n">
        <v>80164</v>
      </c>
    </row>
    <row r="27">
      <c r="A27" t="inlineStr">
        <is>
          <t>Software seats</t>
        </is>
      </c>
      <c r="B27" s="5" t="n">
        <v>25048.8</v>
      </c>
      <c r="C27" s="5" t="n">
        <v>25578</v>
      </c>
      <c r="D27" s="5" t="n">
        <v>26283.6</v>
      </c>
      <c r="E27" s="5" t="n">
        <v>26283.6</v>
      </c>
      <c r="F27" s="5" t="n">
        <v>27694.8</v>
      </c>
      <c r="G27" s="5" t="n">
        <v>28047.6</v>
      </c>
      <c r="H27" s="5" t="n">
        <v>28400.4</v>
      </c>
      <c r="I27" s="5" t="n">
        <v>28576.8</v>
      </c>
      <c r="J27" s="5" t="n">
        <v>28929.6</v>
      </c>
      <c r="K27" s="5" t="n">
        <v>28929.6</v>
      </c>
      <c r="L27" s="5" t="n">
        <v>28929.6</v>
      </c>
      <c r="M27" s="5" t="n">
        <v>28929.6</v>
      </c>
      <c r="N27" s="5" t="n">
        <v>28929.6</v>
      </c>
      <c r="O27" s="5" t="n">
        <v>28929.6</v>
      </c>
      <c r="P27" s="5" t="n">
        <v>28929.6</v>
      </c>
      <c r="Q27" s="5" t="n">
        <v>29106</v>
      </c>
      <c r="R27" s="5" t="n">
        <v>29106</v>
      </c>
      <c r="S27" s="5" t="n">
        <v>29106</v>
      </c>
    </row>
    <row r="28">
      <c r="A28" t="inlineStr">
        <is>
          <t>Fixed G&amp;A</t>
        </is>
      </c>
      <c r="B28" s="5" t="n">
        <v>75000</v>
      </c>
      <c r="C28" s="5" t="n">
        <v>75000</v>
      </c>
      <c r="D28" s="5" t="n">
        <v>75000</v>
      </c>
      <c r="E28" s="5" t="n">
        <v>75000</v>
      </c>
      <c r="F28" s="5" t="n">
        <v>75000</v>
      </c>
      <c r="G28" s="5" t="n">
        <v>75000</v>
      </c>
      <c r="H28" s="5" t="n">
        <v>75000</v>
      </c>
      <c r="I28" s="5" t="n">
        <v>75000</v>
      </c>
      <c r="J28" s="5" t="n">
        <v>75000</v>
      </c>
      <c r="K28" s="5" t="n">
        <v>75000</v>
      </c>
      <c r="L28" s="5" t="n">
        <v>75000</v>
      </c>
      <c r="M28" s="5" t="n">
        <v>75000</v>
      </c>
      <c r="N28" s="5" t="n">
        <v>75000</v>
      </c>
      <c r="O28" s="5" t="n">
        <v>75000</v>
      </c>
      <c r="P28" s="5" t="n">
        <v>75000</v>
      </c>
      <c r="Q28" s="5" t="n">
        <v>75000</v>
      </c>
      <c r="R28" s="5" t="n">
        <v>75000</v>
      </c>
      <c r="S28" s="5" t="n">
        <v>75000</v>
      </c>
    </row>
    <row r="29">
      <c r="A29" t="inlineStr">
        <is>
          <t>G&amp;A total</t>
        </is>
      </c>
      <c r="B29" s="6">
        <f>B24+B25+B26+B27+B28</f>
        <v/>
      </c>
      <c r="C29" s="6">
        <f>C24+C25+C26+C27+C28</f>
        <v/>
      </c>
      <c r="D29" s="6">
        <f>D24+D25+D26+D27+D28</f>
        <v/>
      </c>
      <c r="E29" s="6">
        <f>E24+E25+E26+E27+E28</f>
        <v/>
      </c>
      <c r="F29" s="6">
        <f>F24+F25+F26+F27+F28</f>
        <v/>
      </c>
      <c r="G29" s="6">
        <f>G24+G25+G26+G27+G28</f>
        <v/>
      </c>
      <c r="H29" s="6">
        <f>H24+H25+H26+H27+H28</f>
        <v/>
      </c>
      <c r="I29" s="6">
        <f>I24+I25+I26+I27+I28</f>
        <v/>
      </c>
      <c r="J29" s="6">
        <f>J24+J25+J26+J27+J28</f>
        <v/>
      </c>
      <c r="K29" s="6">
        <f>K24+K25+K26+K27+K28</f>
        <v/>
      </c>
      <c r="L29" s="6">
        <f>L24+L25+L26+L27+L28</f>
        <v/>
      </c>
      <c r="M29" s="6">
        <f>M24+M25+M26+M27+M28</f>
        <v/>
      </c>
      <c r="N29" s="6">
        <f>N24+N25+N26+N27+N28</f>
        <v/>
      </c>
      <c r="O29" s="6">
        <f>O24+O25+O26+O27+O28</f>
        <v/>
      </c>
      <c r="P29" s="6">
        <f>P24+P25+P26+P27+P28</f>
        <v/>
      </c>
      <c r="Q29" s="6">
        <f>Q24+Q25+Q26+Q27+Q28</f>
        <v/>
      </c>
      <c r="R29" s="6">
        <f>R24+R25+R26+R27+R28</f>
        <v/>
      </c>
      <c r="S29" s="6">
        <f>S24+S25+S26+S27+S28</f>
        <v/>
      </c>
    </row>
    <row r="30">
      <c r="A30" t="inlineStr">
        <is>
          <t>Operating expenses</t>
        </is>
      </c>
      <c r="B30" s="6">
        <f>B18+B23+B29</f>
        <v/>
      </c>
      <c r="C30" s="6">
        <f>C18+C23+C29</f>
        <v/>
      </c>
      <c r="D30" s="6">
        <f>D18+D23+D29</f>
        <v/>
      </c>
      <c r="E30" s="6">
        <f>E18+E23+E29</f>
        <v/>
      </c>
      <c r="F30" s="6">
        <f>F18+F23+F29</f>
        <v/>
      </c>
      <c r="G30" s="6">
        <f>G18+G23+G29</f>
        <v/>
      </c>
      <c r="H30" s="6">
        <f>H18+H23+H29</f>
        <v/>
      </c>
      <c r="I30" s="6">
        <f>I18+I23+I29</f>
        <v/>
      </c>
      <c r="J30" s="6">
        <f>J18+J23+J29</f>
        <v/>
      </c>
      <c r="K30" s="6">
        <f>K18+K23+K29</f>
        <v/>
      </c>
      <c r="L30" s="6">
        <f>L18+L23+L29</f>
        <v/>
      </c>
      <c r="M30" s="6">
        <f>M18+M23+M29</f>
        <v/>
      </c>
      <c r="N30" s="6">
        <f>N18+N23+N29</f>
        <v/>
      </c>
      <c r="O30" s="6">
        <f>O18+O23+O29</f>
        <v/>
      </c>
      <c r="P30" s="6">
        <f>P18+P23+P29</f>
        <v/>
      </c>
      <c r="Q30" s="6">
        <f>Q18+Q23+Q29</f>
        <v/>
      </c>
      <c r="R30" s="6">
        <f>R18+R23+R29</f>
        <v/>
      </c>
      <c r="S30" s="6">
        <f>S18+S23+S29</f>
        <v/>
      </c>
    </row>
    <row r="31">
      <c r="A31" t="inlineStr">
        <is>
          <t>EBITDA</t>
        </is>
      </c>
      <c r="B31" s="6">
        <f>B12-B30</f>
        <v/>
      </c>
      <c r="C31" s="6">
        <f>C12-C30</f>
        <v/>
      </c>
      <c r="D31" s="6">
        <f>D12-D30</f>
        <v/>
      </c>
      <c r="E31" s="6">
        <f>E12-E30</f>
        <v/>
      </c>
      <c r="F31" s="6">
        <f>F12-F30</f>
        <v/>
      </c>
      <c r="G31" s="6">
        <f>G12-G30</f>
        <v/>
      </c>
      <c r="H31" s="6">
        <f>H12-H30</f>
        <v/>
      </c>
      <c r="I31" s="6">
        <f>I12-I30</f>
        <v/>
      </c>
      <c r="J31" s="6">
        <f>J12-J30</f>
        <v/>
      </c>
      <c r="K31" s="6">
        <f>K12-K30</f>
        <v/>
      </c>
      <c r="L31" s="6">
        <f>L12-L30</f>
        <v/>
      </c>
      <c r="M31" s="6">
        <f>M12-M30</f>
        <v/>
      </c>
      <c r="N31" s="6">
        <f>N12-N30</f>
        <v/>
      </c>
      <c r="O31" s="6">
        <f>O12-O30</f>
        <v/>
      </c>
      <c r="P31" s="6">
        <f>P12-P30</f>
        <v/>
      </c>
      <c r="Q31" s="6">
        <f>Q12-Q30</f>
        <v/>
      </c>
      <c r="R31" s="6">
        <f>R12-R30</f>
        <v/>
      </c>
      <c r="S31" s="6">
        <f>S12-S30</f>
        <v/>
      </c>
    </row>
    <row r="32">
      <c r="A32" t="inlineStr">
        <is>
          <t>EBITDA margin</t>
        </is>
      </c>
      <c r="B32" s="7">
        <f>IF(B5=0,0,B31/B5)</f>
        <v/>
      </c>
      <c r="C32" s="7">
        <f>IF(C5=0,0,C31/C5)</f>
        <v/>
      </c>
      <c r="D32" s="7">
        <f>IF(D5=0,0,D31/D5)</f>
        <v/>
      </c>
      <c r="E32" s="7">
        <f>IF(E5=0,0,E31/E5)</f>
        <v/>
      </c>
      <c r="F32" s="7">
        <f>IF(F5=0,0,F31/F5)</f>
        <v/>
      </c>
      <c r="G32" s="7">
        <f>IF(G5=0,0,G31/G5)</f>
        <v/>
      </c>
      <c r="H32" s="7">
        <f>IF(H5=0,0,H31/H5)</f>
        <v/>
      </c>
      <c r="I32" s="7">
        <f>IF(I5=0,0,I31/I5)</f>
        <v/>
      </c>
      <c r="J32" s="7">
        <f>IF(J5=0,0,J31/J5)</f>
        <v/>
      </c>
      <c r="K32" s="7">
        <f>IF(K5=0,0,K31/K5)</f>
        <v/>
      </c>
      <c r="L32" s="7">
        <f>IF(L5=0,0,L31/L5)</f>
        <v/>
      </c>
      <c r="M32" s="7">
        <f>IF(M5=0,0,M31/M5)</f>
        <v/>
      </c>
      <c r="N32" s="7">
        <f>IF(N5=0,0,N31/N5)</f>
        <v/>
      </c>
      <c r="O32" s="7">
        <f>IF(O5=0,0,O31/O5)</f>
        <v/>
      </c>
      <c r="P32" s="7">
        <f>IF(P5=0,0,P31/P5)</f>
        <v/>
      </c>
      <c r="Q32" s="7">
        <f>IF(Q5=0,0,Q31/Q5)</f>
        <v/>
      </c>
      <c r="R32" s="7">
        <f>IF(R5=0,0,R31/R5)</f>
        <v/>
      </c>
      <c r="S32" s="7">
        <f>IF(S5=0,0,S31/S5)</f>
        <v/>
      </c>
    </row>
    <row r="33">
      <c r="A33" t="inlineStr">
        <is>
          <t>FTE total</t>
        </is>
      </c>
      <c r="B33" s="8" t="n">
        <v>139.16</v>
      </c>
      <c r="C33" s="8" t="n">
        <v>142.1</v>
      </c>
      <c r="D33" s="8" t="n">
        <v>146.02</v>
      </c>
      <c r="E33" s="8" t="n">
        <v>146.02</v>
      </c>
      <c r="F33" s="8" t="n">
        <v>153.86</v>
      </c>
      <c r="G33" s="8" t="n">
        <v>155.82</v>
      </c>
      <c r="H33" s="8" t="n">
        <v>157.78</v>
      </c>
      <c r="I33" s="8" t="n">
        <v>158.76</v>
      </c>
      <c r="J33" s="8" t="n">
        <v>160.72</v>
      </c>
      <c r="K33" s="8" t="n">
        <v>160.72</v>
      </c>
      <c r="L33" s="8" t="n">
        <v>160.72</v>
      </c>
      <c r="M33" s="8" t="n">
        <v>160.72</v>
      </c>
      <c r="N33" s="8" t="n">
        <v>160.72</v>
      </c>
      <c r="O33" s="8" t="n">
        <v>160.72</v>
      </c>
      <c r="P33" s="8" t="n">
        <v>160.72</v>
      </c>
      <c r="Q33" s="8" t="n">
        <v>161.7</v>
      </c>
      <c r="R33" s="8" t="n">
        <v>161.7</v>
      </c>
      <c r="S33" s="8" t="n">
        <v>161.7</v>
      </c>
    </row>
    <row r="34">
      <c r="A34" t="inlineStr">
        <is>
          <t>FTE customer operations</t>
        </is>
      </c>
      <c r="B34" s="8" t="n">
        <v>26.46</v>
      </c>
      <c r="C34" s="8" t="n">
        <v>26.46</v>
      </c>
      <c r="D34" s="8" t="n">
        <v>26.46</v>
      </c>
      <c r="E34" s="8" t="n">
        <v>26.46</v>
      </c>
      <c r="F34" s="8" t="n">
        <v>26.46</v>
      </c>
      <c r="G34" s="8" t="n">
        <v>26.46</v>
      </c>
      <c r="H34" s="8" t="n">
        <v>26.46</v>
      </c>
      <c r="I34" s="8" t="n">
        <v>26.46</v>
      </c>
      <c r="J34" s="8" t="n">
        <v>26.46</v>
      </c>
      <c r="K34" s="8" t="n">
        <v>26.46</v>
      </c>
      <c r="L34" s="8" t="n">
        <v>26.46</v>
      </c>
      <c r="M34" s="8" t="n">
        <v>26.46</v>
      </c>
      <c r="N34" s="8" t="n">
        <v>26.46</v>
      </c>
      <c r="O34" s="8" t="n">
        <v>26.46</v>
      </c>
      <c r="P34" s="8" t="n">
        <v>26.46</v>
      </c>
      <c r="Q34" s="8" t="n">
        <v>27.44</v>
      </c>
      <c r="R34" s="8" t="n">
        <v>27.44</v>
      </c>
      <c r="S34" s="8" t="n">
        <v>27.44</v>
      </c>
    </row>
    <row r="35">
      <c r="A35" t="inlineStr">
        <is>
          <t>FTE R&amp;D</t>
        </is>
      </c>
      <c r="B35" s="8" t="n">
        <v>70.56</v>
      </c>
      <c r="C35" s="8" t="n">
        <v>72.52</v>
      </c>
      <c r="D35" s="8" t="n">
        <v>76.44</v>
      </c>
      <c r="E35" s="8" t="n">
        <v>76.44</v>
      </c>
      <c r="F35" s="8" t="n">
        <v>79.38</v>
      </c>
      <c r="G35" s="8" t="n">
        <v>80.36</v>
      </c>
      <c r="H35" s="8" t="n">
        <v>82.31999999999999</v>
      </c>
      <c r="I35" s="8" t="n">
        <v>82.31999999999999</v>
      </c>
      <c r="J35" s="8" t="n">
        <v>84.28</v>
      </c>
      <c r="K35" s="8" t="n">
        <v>84.28</v>
      </c>
      <c r="L35" s="8" t="n">
        <v>84.28</v>
      </c>
      <c r="M35" s="8" t="n">
        <v>84.28</v>
      </c>
      <c r="N35" s="8" t="n">
        <v>84.28</v>
      </c>
      <c r="O35" s="8" t="n">
        <v>84.28</v>
      </c>
      <c r="P35" s="8" t="n">
        <v>84.28</v>
      </c>
      <c r="Q35" s="8" t="n">
        <v>84.28</v>
      </c>
      <c r="R35" s="8" t="n">
        <v>84.28</v>
      </c>
      <c r="S35" s="8" t="n">
        <v>84.28</v>
      </c>
    </row>
    <row r="36">
      <c r="A36" t="inlineStr">
        <is>
          <t>FTE sales and marketing</t>
        </is>
      </c>
      <c r="B36" s="8" t="n">
        <v>27.44</v>
      </c>
      <c r="C36" s="8" t="n">
        <v>28.42</v>
      </c>
      <c r="D36" s="8" t="n">
        <v>28.42</v>
      </c>
      <c r="E36" s="8" t="n">
        <v>28.42</v>
      </c>
      <c r="F36" s="8" t="n">
        <v>32.34</v>
      </c>
      <c r="G36" s="8" t="n">
        <v>33.32</v>
      </c>
      <c r="H36" s="8" t="n">
        <v>33.32</v>
      </c>
      <c r="I36" s="8" t="n">
        <v>34.3</v>
      </c>
      <c r="J36" s="8" t="n">
        <v>34.3</v>
      </c>
      <c r="K36" s="8" t="n">
        <v>34.3</v>
      </c>
      <c r="L36" s="8" t="n">
        <v>34.3</v>
      </c>
      <c r="M36" s="8" t="n">
        <v>34.3</v>
      </c>
      <c r="N36" s="8" t="n">
        <v>34.3</v>
      </c>
      <c r="O36" s="8" t="n">
        <v>34.3</v>
      </c>
      <c r="P36" s="8" t="n">
        <v>34.3</v>
      </c>
      <c r="Q36" s="8" t="n">
        <v>34.3</v>
      </c>
      <c r="R36" s="8" t="n">
        <v>34.3</v>
      </c>
      <c r="S36" s="8" t="n">
        <v>34.3</v>
      </c>
    </row>
    <row r="37">
      <c r="A37" t="inlineStr">
        <is>
          <t>FTE G&amp;A</t>
        </is>
      </c>
      <c r="B37" s="8" t="n">
        <v>14.7</v>
      </c>
      <c r="C37" s="8" t="n">
        <v>14.7</v>
      </c>
      <c r="D37" s="8" t="n">
        <v>14.7</v>
      </c>
      <c r="E37" s="8" t="n">
        <v>14.7</v>
      </c>
      <c r="F37" s="8" t="n">
        <v>15.68</v>
      </c>
      <c r="G37" s="8" t="n">
        <v>15.68</v>
      </c>
      <c r="H37" s="8" t="n">
        <v>15.68</v>
      </c>
      <c r="I37" s="8" t="n">
        <v>15.68</v>
      </c>
      <c r="J37" s="8" t="n">
        <v>15.68</v>
      </c>
      <c r="K37" s="8" t="n">
        <v>15.68</v>
      </c>
      <c r="L37" s="8" t="n">
        <v>15.68</v>
      </c>
      <c r="M37" s="8" t="n">
        <v>15.68</v>
      </c>
      <c r="N37" s="8" t="n">
        <v>15.68</v>
      </c>
      <c r="O37" s="8" t="n">
        <v>15.68</v>
      </c>
      <c r="P37" s="8" t="n">
        <v>15.68</v>
      </c>
      <c r="Q37" s="8" t="n">
        <v>15.68</v>
      </c>
      <c r="R37" s="8" t="n">
        <v>15.68</v>
      </c>
      <c r="S37" s="8" t="n">
        <v>15.68</v>
      </c>
    </row>
    <row r="38">
      <c r="A38" t="inlineStr">
        <is>
          <t>Total ARR (closing)</t>
        </is>
      </c>
      <c r="B38" s="5" t="n">
        <v>24852896.49015271</v>
      </c>
      <c r="C38" s="5" t="n">
        <v>25456754.3002057</v>
      </c>
      <c r="D38" s="5" t="n">
        <v>26046699.76862588</v>
      </c>
      <c r="E38" s="5" t="n">
        <v>26759026.01363298</v>
      </c>
      <c r="F38" s="5" t="n">
        <v>28557926.79181007</v>
      </c>
      <c r="G38" s="5" t="n">
        <v>29200495.205208</v>
      </c>
      <c r="H38" s="5" t="n">
        <v>29961223.52629181</v>
      </c>
      <c r="I38" s="5" t="n">
        <v>30663043.63961947</v>
      </c>
      <c r="J38" s="5" t="n">
        <v>31432565.72196325</v>
      </c>
      <c r="K38" s="5" t="n">
        <v>32287692.80432024</v>
      </c>
      <c r="L38" s="5" t="n">
        <v>32979340.33300192</v>
      </c>
      <c r="M38" s="5" t="n">
        <v>33683971.85242377</v>
      </c>
      <c r="N38" s="5" t="n">
        <v>34540263.04377232</v>
      </c>
      <c r="O38" s="5" t="n">
        <v>35402091.81115326</v>
      </c>
      <c r="P38" s="5" t="n">
        <v>36232440.50003143</v>
      </c>
      <c r="Q38" s="5" t="n">
        <v>37217246.07565783</v>
      </c>
      <c r="R38" s="5" t="n">
        <v>39658566.60662812</v>
      </c>
      <c r="S38" s="5" t="n">
        <v>40498712.36977075</v>
      </c>
    </row>
    <row r="39">
      <c r="A39" s="2" t="inlineStr">
        <is>
          <t>Shaded yellow: values from the model. Shaded blue: Excel formulas.</t>
        </is>
      </c>
    </row>
    <row r="41">
      <c r="A41" s="1" t="inlineStr">
        <is>
          <t>Plan base: ARR roll-forward</t>
        </is>
      </c>
    </row>
    <row r="42">
      <c r="A42" s="2" t="inlineStr">
        <is>
          <t>USD, monthly</t>
        </is>
      </c>
      <c r="B42" s="4" t="inlineStr">
        <is>
          <t>2026-09</t>
        </is>
      </c>
      <c r="C42" s="4" t="inlineStr">
        <is>
          <t>2026-10</t>
        </is>
      </c>
      <c r="D42" s="4" t="inlineStr">
        <is>
          <t>2026-11</t>
        </is>
      </c>
      <c r="E42" s="4" t="inlineStr">
        <is>
          <t>2026-12</t>
        </is>
      </c>
      <c r="F42" s="4" t="inlineStr">
        <is>
          <t>2027-01</t>
        </is>
      </c>
      <c r="G42" s="4" t="inlineStr">
        <is>
          <t>2027-02</t>
        </is>
      </c>
      <c r="H42" s="4" t="inlineStr">
        <is>
          <t>2027-03</t>
        </is>
      </c>
      <c r="I42" s="4" t="inlineStr">
        <is>
          <t>2027-04</t>
        </is>
      </c>
      <c r="J42" s="4" t="inlineStr">
        <is>
          <t>2027-05</t>
        </is>
      </c>
      <c r="K42" s="4" t="inlineStr">
        <is>
          <t>2027-06</t>
        </is>
      </c>
      <c r="L42" s="4" t="inlineStr">
        <is>
          <t>2027-07</t>
        </is>
      </c>
      <c r="M42" s="4" t="inlineStr">
        <is>
          <t>2027-08</t>
        </is>
      </c>
      <c r="N42" s="4" t="inlineStr">
        <is>
          <t>2027-09</t>
        </is>
      </c>
      <c r="O42" s="4" t="inlineStr">
        <is>
          <t>2027-10</t>
        </is>
      </c>
      <c r="P42" s="4" t="inlineStr">
        <is>
          <t>2027-11</t>
        </is>
      </c>
      <c r="Q42" s="4" t="inlineStr">
        <is>
          <t>2027-12</t>
        </is>
      </c>
      <c r="R42" s="4" t="inlineStr">
        <is>
          <t>2028-01</t>
        </is>
      </c>
      <c r="S42" s="4" t="inlineStr">
        <is>
          <t>2028-02</t>
        </is>
      </c>
    </row>
    <row r="43">
      <c r="A43" t="inlineStr">
        <is>
          <t>Opening Platform ARR</t>
        </is>
      </c>
      <c r="B43" s="5" t="n">
        <v>22261073.29549041</v>
      </c>
      <c r="C43" s="5" t="n">
        <v>22761722.95549041</v>
      </c>
      <c r="D43" s="5" t="n">
        <v>23262372.61549041</v>
      </c>
      <c r="E43" s="5" t="n">
        <v>23747696.26549041</v>
      </c>
      <c r="F43" s="5" t="n">
        <v>24340301.9854904</v>
      </c>
      <c r="G43" s="5" t="n">
        <v>26032040.24451492</v>
      </c>
      <c r="H43" s="5" t="n">
        <v>26558616.40476492</v>
      </c>
      <c r="I43" s="5" t="n">
        <v>27188004.54876493</v>
      </c>
      <c r="J43" s="5" t="n">
        <v>27748553.36451492</v>
      </c>
      <c r="K43" s="5" t="n">
        <v>28365425.26701492</v>
      </c>
      <c r="L43" s="5" t="n">
        <v>29053818.54951492</v>
      </c>
      <c r="M43" s="5" t="n">
        <v>29593357.95988992</v>
      </c>
      <c r="N43" s="5" t="n">
        <v>30140496.51688992</v>
      </c>
      <c r="O43" s="5" t="n">
        <v>30816373.55788992</v>
      </c>
      <c r="P43" s="5" t="n">
        <v>31492250.59888992</v>
      </c>
      <c r="Q43" s="5" t="n">
        <v>32135943.01888993</v>
      </c>
      <c r="R43" s="5" t="n">
        <v>32908373.92288993</v>
      </c>
      <c r="S43" s="5" t="n">
        <v>35162081.95593443</v>
      </c>
    </row>
    <row r="44">
      <c r="A44" t="inlineStr">
        <is>
          <t>New ARR</t>
        </is>
      </c>
      <c r="B44" s="5" t="n">
        <v>500649.6600000001</v>
      </c>
      <c r="C44" s="5" t="n">
        <v>500649.6600000001</v>
      </c>
      <c r="D44" s="5" t="n">
        <v>485323.6500000001</v>
      </c>
      <c r="E44" s="5" t="n">
        <v>592605.7200000001</v>
      </c>
      <c r="F44" s="5" t="n">
        <v>474723.15975</v>
      </c>
      <c r="G44" s="5" t="n">
        <v>526576.1602500001</v>
      </c>
      <c r="H44" s="5" t="n">
        <v>629388.1440000002</v>
      </c>
      <c r="I44" s="5" t="n">
        <v>560548.81575</v>
      </c>
      <c r="J44" s="5" t="n">
        <v>616871.9025000001</v>
      </c>
      <c r="K44" s="5" t="n">
        <v>688393.2825000002</v>
      </c>
      <c r="L44" s="5" t="n">
        <v>539539.4103750001</v>
      </c>
      <c r="M44" s="5" t="n">
        <v>547138.557</v>
      </c>
      <c r="N44" s="5" t="n">
        <v>675877.0410000002</v>
      </c>
      <c r="O44" s="5" t="n">
        <v>675877.0410000002</v>
      </c>
      <c r="P44" s="5" t="n">
        <v>643692.42</v>
      </c>
      <c r="Q44" s="5" t="n">
        <v>772430.904</v>
      </c>
      <c r="R44" s="5" t="n">
        <v>608289.3369000001</v>
      </c>
      <c r="S44" s="5" t="n">
        <v>642083.1889500001</v>
      </c>
    </row>
    <row r="45">
      <c r="A45" t="inlineStr">
        <is>
          <t>Expansion ARR</t>
        </is>
      </c>
      <c r="B45" s="5" t="n">
        <v>194597.6421831656</v>
      </c>
      <c r="C45" s="5" t="n">
        <v>198974.1267354868</v>
      </c>
      <c r="D45" s="5" t="n">
        <v>203350.611287808</v>
      </c>
      <c r="E45" s="5" t="n">
        <v>207593.1218232214</v>
      </c>
      <c r="F45" s="5" t="n">
        <v>212773.4504769893</v>
      </c>
      <c r="G45" s="5" t="n">
        <v>227561.9681745576</v>
      </c>
      <c r="H45" s="5" t="n">
        <v>232165.0921054811</v>
      </c>
      <c r="I45" s="5" t="n">
        <v>237666.9583998278</v>
      </c>
      <c r="J45" s="5" t="n">
        <v>242567.0580682302</v>
      </c>
      <c r="K45" s="5" t="n">
        <v>247959.5122487688</v>
      </c>
      <c r="L45" s="5" t="n">
        <v>253977.1785082105</v>
      </c>
      <c r="M45" s="5" t="n">
        <v>258693.6221284351</v>
      </c>
      <c r="N45" s="5" t="n">
        <v>263476.4945320433</v>
      </c>
      <c r="O45" s="5" t="n">
        <v>269384.748677677</v>
      </c>
      <c r="P45" s="5" t="n">
        <v>275293.0028233106</v>
      </c>
      <c r="Q45" s="5" t="n">
        <v>280919.9115334378</v>
      </c>
      <c r="R45" s="5" t="n">
        <v>287672.2019855905</v>
      </c>
      <c r="S45" s="5" t="n">
        <v>307373.2408159403</v>
      </c>
    </row>
    <row r="46">
      <c r="A46" t="inlineStr">
        <is>
          <t>Price ARR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1217015.09927452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1645418.696144496</v>
      </c>
      <c r="S46" s="5" t="n">
        <v>0</v>
      </c>
    </row>
    <row r="47">
      <c r="A47" t="inlineStr">
        <is>
          <t>Churned ARR</t>
        </is>
      </c>
      <c r="B47" s="5" t="n">
        <v>-194597.6421831656</v>
      </c>
      <c r="C47" s="5" t="n">
        <v>-198974.1267354868</v>
      </c>
      <c r="D47" s="5" t="n">
        <v>-203350.611287808</v>
      </c>
      <c r="E47" s="5" t="n">
        <v>-207593.1218232214</v>
      </c>
      <c r="F47" s="5" t="n">
        <v>-212773.4504769893</v>
      </c>
      <c r="G47" s="5" t="n">
        <v>-227561.9681745576</v>
      </c>
      <c r="H47" s="5" t="n">
        <v>-232165.0921054811</v>
      </c>
      <c r="I47" s="5" t="n">
        <v>-237666.9583998278</v>
      </c>
      <c r="J47" s="5" t="n">
        <v>-242567.0580682302</v>
      </c>
      <c r="K47" s="5" t="n">
        <v>-247959.5122487688</v>
      </c>
      <c r="L47" s="5" t="n">
        <v>-253977.1785082105</v>
      </c>
      <c r="M47" s="5" t="n">
        <v>-258693.6221284351</v>
      </c>
      <c r="N47" s="5" t="n">
        <v>-263476.4945320433</v>
      </c>
      <c r="O47" s="5" t="n">
        <v>-269384.748677677</v>
      </c>
      <c r="P47" s="5" t="n">
        <v>-275293.0028233106</v>
      </c>
      <c r="Q47" s="5" t="n">
        <v>-280919.9115334378</v>
      </c>
      <c r="R47" s="5" t="n">
        <v>-287672.2019855905</v>
      </c>
      <c r="S47" s="5" t="n">
        <v>-307373.2408159403</v>
      </c>
    </row>
    <row r="48">
      <c r="A48" t="inlineStr">
        <is>
          <t>Closing Platform ARR</t>
        </is>
      </c>
      <c r="B48" s="6">
        <f>B43+B44+B45+B46+B47</f>
        <v/>
      </c>
      <c r="C48" s="6">
        <f>C43+C44+C45+C46+C47</f>
        <v/>
      </c>
      <c r="D48" s="6">
        <f>D43+D44+D45+D46+D47</f>
        <v/>
      </c>
      <c r="E48" s="6">
        <f>E43+E44+E45+E46+E47</f>
        <v/>
      </c>
      <c r="F48" s="6">
        <f>F43+F44+F45+F46+F47</f>
        <v/>
      </c>
      <c r="G48" s="6">
        <f>G43+G44+G45+G46+G47</f>
        <v/>
      </c>
      <c r="H48" s="6">
        <f>H43+H44+H45+H46+H47</f>
        <v/>
      </c>
      <c r="I48" s="6">
        <f>I43+I44+I45+I46+I47</f>
        <v/>
      </c>
      <c r="J48" s="6">
        <f>J43+J44+J45+J46+J47</f>
        <v/>
      </c>
      <c r="K48" s="6">
        <f>K43+K44+K45+K46+K47</f>
        <v/>
      </c>
      <c r="L48" s="6">
        <f>L43+L44+L45+L46+L47</f>
        <v/>
      </c>
      <c r="M48" s="6">
        <f>M43+M44+M45+M46+M47</f>
        <v/>
      </c>
      <c r="N48" s="6">
        <f>N43+N44+N45+N46+N47</f>
        <v/>
      </c>
      <c r="O48" s="6">
        <f>O43+O44+O45+O46+O47</f>
        <v/>
      </c>
      <c r="P48" s="6">
        <f>P43+P44+P45+P46+P47</f>
        <v/>
      </c>
      <c r="Q48" s="6">
        <f>Q43+Q44+Q45+Q46+Q47</f>
        <v/>
      </c>
      <c r="R48" s="6">
        <f>R43+R44+R45+R46+R47</f>
        <v/>
      </c>
      <c r="S48" s="6">
        <f>S43+S44+S45+S46+S47</f>
        <v/>
      </c>
    </row>
    <row r="49">
      <c r="A49" t="inlineStr">
        <is>
          <t>Opening customers</t>
        </is>
      </c>
      <c r="B49" s="8" t="n">
        <v>532.6245130899939</v>
      </c>
      <c r="C49" s="8" t="n">
        <v>541.1985168116264</v>
      </c>
      <c r="D49" s="8" t="n">
        <v>549.6975699284003</v>
      </c>
      <c r="E49" s="8" t="n">
        <v>557.717327629344</v>
      </c>
      <c r="F49" s="8" t="n">
        <v>568.5019797285152</v>
      </c>
      <c r="G49" s="8" t="n">
        <v>575.4798565947535</v>
      </c>
      <c r="H49" s="8" t="n">
        <v>583.7017355761376</v>
      </c>
      <c r="I49" s="8" t="n">
        <v>594.4392420901497</v>
      </c>
      <c r="J49" s="8" t="n">
        <v>603.3503854995928</v>
      </c>
      <c r="K49" s="8" t="n">
        <v>613.6011311601891</v>
      </c>
      <c r="L49" s="8" t="n">
        <v>625.5622687902249</v>
      </c>
      <c r="M49" s="8" t="n">
        <v>633.6725968085234</v>
      </c>
      <c r="N49" s="8" t="n">
        <v>641.9032774945708</v>
      </c>
      <c r="O49" s="8" t="n">
        <v>653.3020087721685</v>
      </c>
      <c r="P49" s="8" t="n">
        <v>664.6010967755603</v>
      </c>
      <c r="Q49" s="8" t="n">
        <v>674.9914125474837</v>
      </c>
      <c r="R49" s="8" t="n">
        <v>688.5309002212325</v>
      </c>
      <c r="S49" s="8" t="n">
        <v>697.0920309612114</v>
      </c>
    </row>
    <row r="50">
      <c r="A50" t="inlineStr">
        <is>
          <t>New logos</t>
        </is>
      </c>
      <c r="B50" s="8" t="n">
        <v>13.23</v>
      </c>
      <c r="C50" s="8" t="n">
        <v>13.23</v>
      </c>
      <c r="D50" s="8" t="n">
        <v>12.825</v>
      </c>
      <c r="E50" s="8" t="n">
        <v>15.66</v>
      </c>
      <c r="F50" s="8" t="n">
        <v>11.9475</v>
      </c>
      <c r="G50" s="8" t="n">
        <v>13.2525</v>
      </c>
      <c r="H50" s="8" t="n">
        <v>15.84</v>
      </c>
      <c r="I50" s="8" t="n">
        <v>14.1075</v>
      </c>
      <c r="J50" s="8" t="n">
        <v>15.525</v>
      </c>
      <c r="K50" s="8" t="n">
        <v>17.325</v>
      </c>
      <c r="L50" s="8" t="n">
        <v>13.57875</v>
      </c>
      <c r="M50" s="8" t="n">
        <v>13.77</v>
      </c>
      <c r="N50" s="8" t="n">
        <v>17.01</v>
      </c>
      <c r="O50" s="8" t="n">
        <v>17.01</v>
      </c>
      <c r="P50" s="8" t="n">
        <v>16.2</v>
      </c>
      <c r="Q50" s="8" t="n">
        <v>19.44</v>
      </c>
      <c r="R50" s="8" t="n">
        <v>14.58</v>
      </c>
      <c r="S50" s="8" t="n">
        <v>15.39</v>
      </c>
    </row>
    <row r="51">
      <c r="A51" t="inlineStr">
        <is>
          <t>Churned customers</t>
        </is>
      </c>
      <c r="B51" s="8" t="n">
        <v>-4.655996278367498</v>
      </c>
      <c r="C51" s="8" t="n">
        <v>-4.730946883226131</v>
      </c>
      <c r="D51" s="8" t="n">
        <v>-4.805242299056271</v>
      </c>
      <c r="E51" s="8" t="n">
        <v>-4.875347900828854</v>
      </c>
      <c r="F51" s="8" t="n">
        <v>-4.969623133761561</v>
      </c>
      <c r="G51" s="8" t="n">
        <v>-5.030621018615996</v>
      </c>
      <c r="H51" s="8" t="n">
        <v>-5.102493485987853</v>
      </c>
      <c r="I51" s="8" t="n">
        <v>-5.196356590556869</v>
      </c>
      <c r="J51" s="8" t="n">
        <v>-5.27425433940373</v>
      </c>
      <c r="K51" s="8" t="n">
        <v>-5.363862369964209</v>
      </c>
      <c r="L51" s="8" t="n">
        <v>-5.468421981701566</v>
      </c>
      <c r="M51" s="8" t="n">
        <v>-5.539319313952507</v>
      </c>
      <c r="N51" s="8" t="n">
        <v>-5.611268722402269</v>
      </c>
      <c r="O51" s="8" t="n">
        <v>-5.710911996608162</v>
      </c>
      <c r="P51" s="8" t="n">
        <v>-5.809684228076694</v>
      </c>
      <c r="Q51" s="8" t="n">
        <v>-5.900512326251298</v>
      </c>
      <c r="R51" s="8" t="n">
        <v>-6.018869260021122</v>
      </c>
      <c r="S51" s="8" t="n">
        <v>-6.093707334282312</v>
      </c>
    </row>
    <row r="52">
      <c r="A52" t="inlineStr">
        <is>
          <t>Closing customers</t>
        </is>
      </c>
      <c r="B52" s="9">
        <f>B49+B50+B51</f>
        <v/>
      </c>
      <c r="C52" s="9">
        <f>C49+C50+C51</f>
        <v/>
      </c>
      <c r="D52" s="9">
        <f>D49+D50+D51</f>
        <v/>
      </c>
      <c r="E52" s="9">
        <f>E49+E50+E51</f>
        <v/>
      </c>
      <c r="F52" s="9">
        <f>F49+F50+F51</f>
        <v/>
      </c>
      <c r="G52" s="9">
        <f>G49+G50+G51</f>
        <v/>
      </c>
      <c r="H52" s="9">
        <f>H49+H50+H51</f>
        <v/>
      </c>
      <c r="I52" s="9">
        <f>I49+I50+I51</f>
        <v/>
      </c>
      <c r="J52" s="9">
        <f>J49+J50+J51</f>
        <v/>
      </c>
      <c r="K52" s="9">
        <f>K49+K50+K51</f>
        <v/>
      </c>
      <c r="L52" s="9">
        <f>L49+L50+L51</f>
        <v/>
      </c>
      <c r="M52" s="9">
        <f>M49+M50+M51</f>
        <v/>
      </c>
      <c r="N52" s="9">
        <f>N49+N50+N51</f>
        <v/>
      </c>
      <c r="O52" s="9">
        <f>O49+O50+O51</f>
        <v/>
      </c>
      <c r="P52" s="9">
        <f>P49+P50+P51</f>
        <v/>
      </c>
      <c r="Q52" s="9">
        <f>Q49+Q50+Q51</f>
        <v/>
      </c>
      <c r="R52" s="9">
        <f>R49+R50+R51</f>
        <v/>
      </c>
      <c r="S52" s="9">
        <f>S49+S50+S51</f>
        <v/>
      </c>
    </row>
    <row r="53">
      <c r="A53" t="inlineStr">
        <is>
          <t>Insights attach rate</t>
        </is>
      </c>
      <c r="B53" s="10" t="n">
        <v>0.262</v>
      </c>
      <c r="C53" s="10" t="n">
        <v>0.268</v>
      </c>
      <c r="D53" s="10" t="n">
        <v>0.274</v>
      </c>
      <c r="E53" s="10" t="n">
        <v>0.28</v>
      </c>
      <c r="F53" s="10" t="n">
        <v>0.286</v>
      </c>
      <c r="G53" s="10" t="n">
        <v>0.292</v>
      </c>
      <c r="H53" s="10" t="n">
        <v>0.298</v>
      </c>
      <c r="I53" s="10" t="n">
        <v>0.3055</v>
      </c>
      <c r="J53" s="10" t="n">
        <v>0.3130000000000001</v>
      </c>
      <c r="K53" s="10" t="n">
        <v>0.3205000000000001</v>
      </c>
      <c r="L53" s="10" t="n">
        <v>0.3280000000000001</v>
      </c>
      <c r="M53" s="10" t="n">
        <v>0.3355000000000001</v>
      </c>
      <c r="N53" s="10" t="n">
        <v>0.3430000000000001</v>
      </c>
      <c r="O53" s="10" t="n">
        <v>0.3505000000000001</v>
      </c>
      <c r="P53" s="10" t="n">
        <v>0.3580000000000001</v>
      </c>
      <c r="Q53" s="10" t="n">
        <v>0.3655000000000001</v>
      </c>
      <c r="R53" s="10" t="n">
        <v>0.3730000000000001</v>
      </c>
      <c r="S53" s="10" t="n">
        <v>0.3805000000000001</v>
      </c>
    </row>
    <row r="54">
      <c r="A54" t="inlineStr">
        <is>
          <t>Insights customers</t>
        </is>
      </c>
      <c r="B54" s="8" t="n">
        <v>141.7940114046461</v>
      </c>
      <c r="C54" s="8" t="n">
        <v>147.3189487408113</v>
      </c>
      <c r="D54" s="8" t="n">
        <v>152.8145477704403</v>
      </c>
      <c r="E54" s="8" t="n">
        <v>159.1805543239843</v>
      </c>
      <c r="F54" s="8" t="n">
        <v>164.5872389860995</v>
      </c>
      <c r="G54" s="8" t="n">
        <v>170.4409067882322</v>
      </c>
      <c r="H54" s="8" t="n">
        <v>177.1428941428646</v>
      </c>
      <c r="I54" s="8" t="n">
        <v>184.3235427701256</v>
      </c>
      <c r="J54" s="8" t="n">
        <v>192.0571540531392</v>
      </c>
      <c r="K54" s="8" t="n">
        <v>200.4927071472671</v>
      </c>
      <c r="L54" s="8" t="n">
        <v>207.8446117531957</v>
      </c>
      <c r="M54" s="8" t="n">
        <v>215.3585495994286</v>
      </c>
      <c r="N54" s="8" t="n">
        <v>224.0825890088539</v>
      </c>
      <c r="O54" s="8" t="n">
        <v>232.942684419834</v>
      </c>
      <c r="P54" s="8" t="n">
        <v>241.6469256919992</v>
      </c>
      <c r="Q54" s="8" t="n">
        <v>251.6580440308606</v>
      </c>
      <c r="R54" s="8" t="n">
        <v>260.015327548532</v>
      </c>
      <c r="S54" s="8" t="n">
        <v>268.7807571400466</v>
      </c>
    </row>
    <row r="55">
      <c r="A55" t="inlineStr">
        <is>
          <t>Insights ARR per customer</t>
        </is>
      </c>
      <c r="B55" s="5" t="n">
        <v>14747.96794269819</v>
      </c>
      <c r="C55" s="5" t="n">
        <v>14895.44762212517</v>
      </c>
      <c r="D55" s="5" t="n">
        <v>15044.40209834643</v>
      </c>
      <c r="E55" s="5" t="n">
        <v>15194.84611932989</v>
      </c>
      <c r="F55" s="5" t="n">
        <v>15346.79458052319</v>
      </c>
      <c r="G55" s="5" t="n">
        <v>15500.26252632842</v>
      </c>
      <c r="H55" s="5" t="n">
        <v>15655.26515159171</v>
      </c>
      <c r="I55" s="5" t="n">
        <v>15811.81780310762</v>
      </c>
      <c r="J55" s="5" t="n">
        <v>15969.9359811387</v>
      </c>
      <c r="K55" s="5" t="n">
        <v>16129.63534095009</v>
      </c>
      <c r="L55" s="5" t="n">
        <v>16290.93169435959</v>
      </c>
      <c r="M55" s="5" t="n">
        <v>16453.84101130318</v>
      </c>
      <c r="N55" s="5" t="n">
        <v>16618.37942141622</v>
      </c>
      <c r="O55" s="5" t="n">
        <v>16784.56321563038</v>
      </c>
      <c r="P55" s="5" t="n">
        <v>16952.40884778668</v>
      </c>
      <c r="Q55" s="5" t="n">
        <v>17121.93293626455</v>
      </c>
      <c r="R55" s="5" t="n">
        <v>17293.15226562719</v>
      </c>
      <c r="S55" s="5" t="n">
        <v>17466.08378828347</v>
      </c>
    </row>
    <row r="56">
      <c r="A56" t="inlineStr">
        <is>
          <t>Insights ARR</t>
        </is>
      </c>
      <c r="B56" s="5" t="n">
        <v>2091173.534662303</v>
      </c>
      <c r="C56" s="5" t="n">
        <v>2194381.684715298</v>
      </c>
      <c r="D56" s="5" t="n">
        <v>2299003.503135472</v>
      </c>
      <c r="E56" s="5" t="n">
        <v>2418724.028142573</v>
      </c>
      <c r="F56" s="5" t="n">
        <v>2525886.547295147</v>
      </c>
      <c r="G56" s="5" t="n">
        <v>2641878.800443071</v>
      </c>
      <c r="H56" s="5" t="n">
        <v>2773218.977526887</v>
      </c>
      <c r="I56" s="5" t="n">
        <v>2914490.275104542</v>
      </c>
      <c r="J56" s="5" t="n">
        <v>3067140.454948326</v>
      </c>
      <c r="K56" s="5" t="n">
        <v>3233874.254805316</v>
      </c>
      <c r="L56" s="5" t="n">
        <v>3385982.373111999</v>
      </c>
      <c r="M56" s="5" t="n">
        <v>3543475.335533848</v>
      </c>
      <c r="N56" s="5" t="n">
        <v>3723889.485882404</v>
      </c>
      <c r="O56" s="5" t="n">
        <v>3909841.212263341</v>
      </c>
      <c r="P56" s="5" t="n">
        <v>4096497.481141499</v>
      </c>
      <c r="Q56" s="5" t="n">
        <v>4308872.152767906</v>
      </c>
      <c r="R56" s="5" t="n">
        <v>4496484.650693691</v>
      </c>
      <c r="S56" s="5" t="n">
        <v>4694547.224886324</v>
      </c>
    </row>
    <row r="57">
      <c r="A57" t="inlineStr">
        <is>
          <t>Total ARR</t>
        </is>
      </c>
      <c r="B57" s="6">
        <f>B48+B56</f>
        <v/>
      </c>
      <c r="C57" s="6">
        <f>C48+C56</f>
        <v/>
      </c>
      <c r="D57" s="6">
        <f>D48+D56</f>
        <v/>
      </c>
      <c r="E57" s="6">
        <f>E48+E56</f>
        <v/>
      </c>
      <c r="F57" s="6">
        <f>F48+F56</f>
        <v/>
      </c>
      <c r="G57" s="6">
        <f>G48+G56</f>
        <v/>
      </c>
      <c r="H57" s="6">
        <f>H48+H56</f>
        <v/>
      </c>
      <c r="I57" s="6">
        <f>I48+I56</f>
        <v/>
      </c>
      <c r="J57" s="6">
        <f>J48+J56</f>
        <v/>
      </c>
      <c r="K57" s="6">
        <f>K48+K56</f>
        <v/>
      </c>
      <c r="L57" s="6">
        <f>L48+L56</f>
        <v/>
      </c>
      <c r="M57" s="6">
        <f>M48+M56</f>
        <v/>
      </c>
      <c r="N57" s="6">
        <f>N48+N56</f>
        <v/>
      </c>
      <c r="O57" s="6">
        <f>O48+O56</f>
        <v/>
      </c>
      <c r="P57" s="6">
        <f>P48+P56</f>
        <v/>
      </c>
      <c r="Q57" s="6">
        <f>Q48+Q56</f>
        <v/>
      </c>
      <c r="R57" s="6">
        <f>R48+R56</f>
        <v/>
      </c>
      <c r="S57" s="6">
        <f>S48+S56</f>
        <v/>
      </c>
    </row>
    <row r="58">
      <c r="A58" s="2" t="inlineStr">
        <is>
          <t>Shaded yellow: values from the model. Shaded blue: Excel formulas.</t>
        </is>
      </c>
    </row>
    <row r="60">
      <c r="A60" s="1" t="inlineStr">
        <is>
          <t>Plan base: cloud hosting</t>
        </is>
      </c>
    </row>
    <row r="61">
      <c r="A61" s="2" t="inlineStr">
        <is>
          <t>USD, monthly</t>
        </is>
      </c>
      <c r="B61" s="4" t="inlineStr">
        <is>
          <t>2026-09</t>
        </is>
      </c>
      <c r="C61" s="4" t="inlineStr">
        <is>
          <t>2026-10</t>
        </is>
      </c>
      <c r="D61" s="4" t="inlineStr">
        <is>
          <t>2026-11</t>
        </is>
      </c>
      <c r="E61" s="4" t="inlineStr">
        <is>
          <t>2026-12</t>
        </is>
      </c>
      <c r="F61" s="4" t="inlineStr">
        <is>
          <t>2027-01</t>
        </is>
      </c>
      <c r="G61" s="4" t="inlineStr">
        <is>
          <t>2027-02</t>
        </is>
      </c>
      <c r="H61" s="4" t="inlineStr">
        <is>
          <t>2027-03</t>
        </is>
      </c>
      <c r="I61" s="4" t="inlineStr">
        <is>
          <t>2027-04</t>
        </is>
      </c>
      <c r="J61" s="4" t="inlineStr">
        <is>
          <t>2027-05</t>
        </is>
      </c>
      <c r="K61" s="4" t="inlineStr">
        <is>
          <t>2027-06</t>
        </is>
      </c>
      <c r="L61" s="4" t="inlineStr">
        <is>
          <t>2027-07</t>
        </is>
      </c>
      <c r="M61" s="4" t="inlineStr">
        <is>
          <t>2027-08</t>
        </is>
      </c>
      <c r="N61" s="4" t="inlineStr">
        <is>
          <t>2027-09</t>
        </is>
      </c>
      <c r="O61" s="4" t="inlineStr">
        <is>
          <t>2027-10</t>
        </is>
      </c>
      <c r="P61" s="4" t="inlineStr">
        <is>
          <t>2027-11</t>
        </is>
      </c>
      <c r="Q61" s="4" t="inlineStr">
        <is>
          <t>2027-12</t>
        </is>
      </c>
      <c r="R61" s="4" t="inlineStr">
        <is>
          <t>2028-01</t>
        </is>
      </c>
      <c r="S61" s="4" t="inlineStr">
        <is>
          <t>2028-02</t>
        </is>
      </c>
    </row>
    <row r="62">
      <c r="A62" t="inlineStr">
        <is>
          <t>Platform compute units</t>
        </is>
      </c>
      <c r="B62" s="8" t="n">
        <v>108239.7033623253</v>
      </c>
      <c r="C62" s="8" t="n">
        <v>109939.5139856801</v>
      </c>
      <c r="D62" s="8" t="n">
        <v>111543.4655258688</v>
      </c>
      <c r="E62" s="8" t="n">
        <v>113700.395945703</v>
      </c>
      <c r="F62" s="8" t="n">
        <v>115095.9713189507</v>
      </c>
      <c r="G62" s="8" t="n">
        <v>116740.3471152275</v>
      </c>
      <c r="H62" s="8" t="n">
        <v>118887.8484180299</v>
      </c>
      <c r="I62" s="8" t="n">
        <v>120670.0770999186</v>
      </c>
      <c r="J62" s="8" t="n">
        <v>122720.2262320378</v>
      </c>
      <c r="K62" s="8" t="n">
        <v>125112.453758045</v>
      </c>
      <c r="L62" s="8" t="n">
        <v>126734.5193617047</v>
      </c>
      <c r="M62" s="8" t="n">
        <v>128380.6554989142</v>
      </c>
      <c r="N62" s="8" t="n">
        <v>130660.4017544337</v>
      </c>
      <c r="O62" s="8" t="n">
        <v>132920.2193551121</v>
      </c>
      <c r="P62" s="8" t="n">
        <v>134998.2825094968</v>
      </c>
      <c r="Q62" s="8" t="n">
        <v>137706.1800442465</v>
      </c>
      <c r="R62" s="8" t="n">
        <v>139418.4061922423</v>
      </c>
      <c r="S62" s="8" t="n">
        <v>141277.6647253858</v>
      </c>
    </row>
    <row r="63">
      <c r="A63" t="inlineStr">
        <is>
          <t>Insights compute units</t>
        </is>
      </c>
      <c r="B63" s="8" t="n">
        <v>283588.0228092922</v>
      </c>
      <c r="C63" s="8" t="n">
        <v>294637.8974816226</v>
      </c>
      <c r="D63" s="8" t="n">
        <v>305629.0955408805</v>
      </c>
      <c r="E63" s="8" t="n">
        <v>318361.1086479686</v>
      </c>
      <c r="F63" s="8" t="n">
        <v>329174.477972199</v>
      </c>
      <c r="G63" s="8" t="n">
        <v>340881.8135764644</v>
      </c>
      <c r="H63" s="8" t="n">
        <v>354285.7882857292</v>
      </c>
      <c r="I63" s="8" t="n">
        <v>368647.0855402512</v>
      </c>
      <c r="J63" s="8" t="n">
        <v>384114.3081062784</v>
      </c>
      <c r="K63" s="8" t="n">
        <v>400985.4142945343</v>
      </c>
      <c r="L63" s="8" t="n">
        <v>415689.2235063915</v>
      </c>
      <c r="M63" s="8" t="n">
        <v>430717.0991988571</v>
      </c>
      <c r="N63" s="8" t="n">
        <v>448165.1780177077</v>
      </c>
      <c r="O63" s="8" t="n">
        <v>465885.3688396679</v>
      </c>
      <c r="P63" s="8" t="n">
        <v>483293.8513839985</v>
      </c>
      <c r="Q63" s="8" t="n">
        <v>503316.0880617211</v>
      </c>
      <c r="R63" s="8" t="n">
        <v>520030.6550970639</v>
      </c>
      <c r="S63" s="8" t="n">
        <v>537561.5142800933</v>
      </c>
    </row>
    <row r="64">
      <c r="A64" t="inlineStr">
        <is>
          <t>Total units</t>
        </is>
      </c>
      <c r="B64" s="9">
        <f>B62+B63</f>
        <v/>
      </c>
      <c r="C64" s="9">
        <f>C62+C63</f>
        <v/>
      </c>
      <c r="D64" s="9">
        <f>D62+D63</f>
        <v/>
      </c>
      <c r="E64" s="9">
        <f>E62+E63</f>
        <v/>
      </c>
      <c r="F64" s="9">
        <f>F62+F63</f>
        <v/>
      </c>
      <c r="G64" s="9">
        <f>G62+G63</f>
        <v/>
      </c>
      <c r="H64" s="9">
        <f>H62+H63</f>
        <v/>
      </c>
      <c r="I64" s="9">
        <f>I62+I63</f>
        <v/>
      </c>
      <c r="J64" s="9">
        <f>J62+J63</f>
        <v/>
      </c>
      <c r="K64" s="9">
        <f>K62+K63</f>
        <v/>
      </c>
      <c r="L64" s="9">
        <f>L62+L63</f>
        <v/>
      </c>
      <c r="M64" s="9">
        <f>M62+M63</f>
        <v/>
      </c>
      <c r="N64" s="9">
        <f>N62+N63</f>
        <v/>
      </c>
      <c r="O64" s="9">
        <f>O62+O63</f>
        <v/>
      </c>
      <c r="P64" s="9">
        <f>P62+P63</f>
        <v/>
      </c>
      <c r="Q64" s="9">
        <f>Q62+Q63</f>
        <v/>
      </c>
      <c r="R64" s="9">
        <f>R62+R63</f>
        <v/>
      </c>
      <c r="S64" s="9">
        <f>S62+S63</f>
        <v/>
      </c>
    </row>
    <row r="65">
      <c r="A65" t="inlineStr">
        <is>
          <t>Committed units</t>
        </is>
      </c>
      <c r="B65" s="8" t="n">
        <v>444819.6541343022</v>
      </c>
      <c r="C65" s="8" t="n">
        <v>444819.6541343022</v>
      </c>
      <c r="D65" s="8" t="n">
        <v>444819.6541343022</v>
      </c>
      <c r="E65" s="8" t="n">
        <v>444819.6541343022</v>
      </c>
      <c r="F65" s="8" t="n">
        <v>444819.6541343022</v>
      </c>
      <c r="G65" s="8" t="n">
        <v>444819.6541343022</v>
      </c>
      <c r="H65" s="8" t="n">
        <v>444819.6541343022</v>
      </c>
      <c r="I65" s="8" t="n">
        <v>444819.6541343022</v>
      </c>
      <c r="J65" s="8" t="n">
        <v>444819.6541343022</v>
      </c>
      <c r="K65" s="8" t="n">
        <v>444819.6541343022</v>
      </c>
      <c r="L65" s="8" t="n">
        <v>444819.6541343022</v>
      </c>
      <c r="M65" s="8" t="n">
        <v>444819.6541343022</v>
      </c>
      <c r="N65" s="8" t="n">
        <v>444819.6541343022</v>
      </c>
      <c r="O65" s="8" t="n">
        <v>444819.6541343022</v>
      </c>
      <c r="P65" s="8" t="n">
        <v>444819.6541343022</v>
      </c>
      <c r="Q65" s="8" t="n">
        <v>444819.6541343022</v>
      </c>
      <c r="R65" s="8" t="n">
        <v>444819.6541343022</v>
      </c>
      <c r="S65" s="8" t="n">
        <v>444819.6541343022</v>
      </c>
    </row>
    <row r="66">
      <c r="A66" t="inlineStr">
        <is>
          <t>On-demand unit price</t>
        </is>
      </c>
      <c r="B66" s="11" t="n">
        <v>0.4185199923128898</v>
      </c>
      <c r="C66" s="11" t="n">
        <v>0.4176829523282641</v>
      </c>
      <c r="D66" s="11" t="n">
        <v>0.4168475864236075</v>
      </c>
      <c r="E66" s="11" t="n">
        <v>0.4160138912507603</v>
      </c>
      <c r="F66" s="11" t="n">
        <v>0.4151818634682588</v>
      </c>
      <c r="G66" s="11" t="n">
        <v>0.4143514997413223</v>
      </c>
      <c r="H66" s="11" t="n">
        <v>0.4135227967418397</v>
      </c>
      <c r="I66" s="11" t="n">
        <v>0.4126957511483559</v>
      </c>
      <c r="J66" s="11" t="n">
        <v>0.4118703596460593</v>
      </c>
      <c r="K66" s="11" t="n">
        <v>0.4110466189267671</v>
      </c>
      <c r="L66" s="11" t="n">
        <v>0.4102245256889136</v>
      </c>
      <c r="M66" s="11" t="n">
        <v>0.4094040766375358</v>
      </c>
      <c r="N66" s="11" t="n">
        <v>0.4085852684842607</v>
      </c>
      <c r="O66" s="11" t="n">
        <v>0.4077680979472922</v>
      </c>
      <c r="P66" s="11" t="n">
        <v>0.4069525617513976</v>
      </c>
      <c r="Q66" s="11" t="n">
        <v>0.4061386566278948</v>
      </c>
      <c r="R66" s="11" t="n">
        <v>0.405326379314639</v>
      </c>
      <c r="S66" s="11" t="n">
        <v>0.4045157265560097</v>
      </c>
    </row>
    <row r="67">
      <c r="A67" t="inlineStr">
        <is>
          <t>Commitment discount</t>
        </is>
      </c>
      <c r="B67" s="10" t="n">
        <v>0.25</v>
      </c>
      <c r="C67" s="10" t="n">
        <v>0.25</v>
      </c>
      <c r="D67" s="10" t="n">
        <v>0.25</v>
      </c>
      <c r="E67" s="10" t="n">
        <v>0.25</v>
      </c>
      <c r="F67" s="10" t="n">
        <v>0.25</v>
      </c>
      <c r="G67" s="10" t="n">
        <v>0.25</v>
      </c>
      <c r="H67" s="10" t="n">
        <v>0.25</v>
      </c>
      <c r="I67" s="10" t="n">
        <v>0.25</v>
      </c>
      <c r="J67" s="10" t="n">
        <v>0.25</v>
      </c>
      <c r="K67" s="10" t="n">
        <v>0.25</v>
      </c>
      <c r="L67" s="10" t="n">
        <v>0.25</v>
      </c>
      <c r="M67" s="10" t="n">
        <v>0.25</v>
      </c>
      <c r="N67" s="10" t="n">
        <v>0.25</v>
      </c>
      <c r="O67" s="10" t="n">
        <v>0.25</v>
      </c>
      <c r="P67" s="10" t="n">
        <v>0.25</v>
      </c>
      <c r="Q67" s="10" t="n">
        <v>0.25</v>
      </c>
      <c r="R67" s="10" t="n">
        <v>0.25</v>
      </c>
      <c r="S67" s="10" t="n">
        <v>0.25</v>
      </c>
    </row>
    <row r="68">
      <c r="A68" t="inlineStr">
        <is>
          <t>Committed cost</t>
        </is>
      </c>
      <c r="B68" s="6">
        <f>MIN(B64,B65)*B66*(1-B67)</f>
        <v/>
      </c>
      <c r="C68" s="6">
        <f>MIN(C64,C65)*C66*(1-C67)</f>
        <v/>
      </c>
      <c r="D68" s="6">
        <f>MIN(D64,D65)*D66*(1-D67)</f>
        <v/>
      </c>
      <c r="E68" s="6">
        <f>MIN(E64,E65)*E66*(1-E67)</f>
        <v/>
      </c>
      <c r="F68" s="6">
        <f>MIN(F64,F65)*F66*(1-F67)</f>
        <v/>
      </c>
      <c r="G68" s="6">
        <f>MIN(G64,G65)*G66*(1-G67)</f>
        <v/>
      </c>
      <c r="H68" s="6">
        <f>MIN(H64,H65)*H66*(1-H67)</f>
        <v/>
      </c>
      <c r="I68" s="6">
        <f>MIN(I64,I65)*I66*(1-I67)</f>
        <v/>
      </c>
      <c r="J68" s="6">
        <f>MIN(J64,J65)*J66*(1-J67)</f>
        <v/>
      </c>
      <c r="K68" s="6">
        <f>MIN(K64,K65)*K66*(1-K67)</f>
        <v/>
      </c>
      <c r="L68" s="6">
        <f>MIN(L64,L65)*L66*(1-L67)</f>
        <v/>
      </c>
      <c r="M68" s="6">
        <f>MIN(M64,M65)*M66*(1-M67)</f>
        <v/>
      </c>
      <c r="N68" s="6">
        <f>MIN(N64,N65)*N66*(1-N67)</f>
        <v/>
      </c>
      <c r="O68" s="6">
        <f>MIN(O64,O65)*O66*(1-O67)</f>
        <v/>
      </c>
      <c r="P68" s="6">
        <f>MIN(P64,P65)*P66*(1-P67)</f>
        <v/>
      </c>
      <c r="Q68" s="6">
        <f>MIN(Q64,Q65)*Q66*(1-Q67)</f>
        <v/>
      </c>
      <c r="R68" s="6">
        <f>MIN(R64,R65)*R66*(1-R67)</f>
        <v/>
      </c>
      <c r="S68" s="6">
        <f>MIN(S64,S65)*S66*(1-S67)</f>
        <v/>
      </c>
    </row>
    <row r="69">
      <c r="A69" t="inlineStr">
        <is>
          <t>On-demand cost</t>
        </is>
      </c>
      <c r="B69" s="6">
        <f>MAX(B64-B65,0)*B66</f>
        <v/>
      </c>
      <c r="C69" s="6">
        <f>MAX(C64-C65,0)*C66</f>
        <v/>
      </c>
      <c r="D69" s="6">
        <f>MAX(D64-D65,0)*D66</f>
        <v/>
      </c>
      <c r="E69" s="6">
        <f>MAX(E64-E65,0)*E66</f>
        <v/>
      </c>
      <c r="F69" s="6">
        <f>MAX(F64-F65,0)*F66</f>
        <v/>
      </c>
      <c r="G69" s="6">
        <f>MAX(G64-G65,0)*G66</f>
        <v/>
      </c>
      <c r="H69" s="6">
        <f>MAX(H64-H65,0)*H66</f>
        <v/>
      </c>
      <c r="I69" s="6">
        <f>MAX(I64-I65,0)*I66</f>
        <v/>
      </c>
      <c r="J69" s="6">
        <f>MAX(J64-J65,0)*J66</f>
        <v/>
      </c>
      <c r="K69" s="6">
        <f>MAX(K64-K65,0)*K66</f>
        <v/>
      </c>
      <c r="L69" s="6">
        <f>MAX(L64-L65,0)*L66</f>
        <v/>
      </c>
      <c r="M69" s="6">
        <f>MAX(M64-M65,0)*M66</f>
        <v/>
      </c>
      <c r="N69" s="6">
        <f>MAX(N64-N65,0)*N66</f>
        <v/>
      </c>
      <c r="O69" s="6">
        <f>MAX(O64-O65,0)*O66</f>
        <v/>
      </c>
      <c r="P69" s="6">
        <f>MAX(P64-P65,0)*P66</f>
        <v/>
      </c>
      <c r="Q69" s="6">
        <f>MAX(Q64-Q65,0)*Q66</f>
        <v/>
      </c>
      <c r="R69" s="6">
        <f>MAX(R64-R65,0)*R66</f>
        <v/>
      </c>
      <c r="S69" s="6">
        <f>MAX(S64-S65,0)*S66</f>
        <v/>
      </c>
    </row>
    <row r="70">
      <c r="A70" t="inlineStr">
        <is>
          <t>Fixed cloud cost</t>
        </is>
      </c>
      <c r="B70" s="5" t="n">
        <v>28000</v>
      </c>
      <c r="C70" s="5" t="n">
        <v>28000</v>
      </c>
      <c r="D70" s="5" t="n">
        <v>28000</v>
      </c>
      <c r="E70" s="5" t="n">
        <v>28000</v>
      </c>
      <c r="F70" s="5" t="n">
        <v>28000</v>
      </c>
      <c r="G70" s="5" t="n">
        <v>28000</v>
      </c>
      <c r="H70" s="5" t="n">
        <v>28000</v>
      </c>
      <c r="I70" s="5" t="n">
        <v>28000</v>
      </c>
      <c r="J70" s="5" t="n">
        <v>28000</v>
      </c>
      <c r="K70" s="5" t="n">
        <v>28000</v>
      </c>
      <c r="L70" s="5" t="n">
        <v>28000</v>
      </c>
      <c r="M70" s="5" t="n">
        <v>28000</v>
      </c>
      <c r="N70" s="5" t="n">
        <v>28000</v>
      </c>
      <c r="O70" s="5" t="n">
        <v>28000</v>
      </c>
      <c r="P70" s="5" t="n">
        <v>28000</v>
      </c>
      <c r="Q70" s="5" t="n">
        <v>28000</v>
      </c>
      <c r="R70" s="5" t="n">
        <v>28000</v>
      </c>
      <c r="S70" s="5" t="n">
        <v>28000</v>
      </c>
    </row>
    <row r="71">
      <c r="A71" t="inlineStr">
        <is>
          <t>Cloud hosting total</t>
        </is>
      </c>
      <c r="B71" s="6">
        <f>B68+B69+B70</f>
        <v/>
      </c>
      <c r="C71" s="6">
        <f>C68+C69+C70</f>
        <v/>
      </c>
      <c r="D71" s="6">
        <f>D68+D69+D70</f>
        <v/>
      </c>
      <c r="E71" s="6">
        <f>E68+E69+E70</f>
        <v/>
      </c>
      <c r="F71" s="6">
        <f>F68+F69+F70</f>
        <v/>
      </c>
      <c r="G71" s="6">
        <f>G68+G69+G70</f>
        <v/>
      </c>
      <c r="H71" s="6">
        <f>H68+H69+H70</f>
        <v/>
      </c>
      <c r="I71" s="6">
        <f>I68+I69+I70</f>
        <v/>
      </c>
      <c r="J71" s="6">
        <f>J68+J69+J70</f>
        <v/>
      </c>
      <c r="K71" s="6">
        <f>K68+K69+K70</f>
        <v/>
      </c>
      <c r="L71" s="6">
        <f>L68+L69+L70</f>
        <v/>
      </c>
      <c r="M71" s="6">
        <f>M68+M69+M70</f>
        <v/>
      </c>
      <c r="N71" s="6">
        <f>N68+N69+N70</f>
        <v/>
      </c>
      <c r="O71" s="6">
        <f>O68+O69+O70</f>
        <v/>
      </c>
      <c r="P71" s="6">
        <f>P68+P69+P70</f>
        <v/>
      </c>
      <c r="Q71" s="6">
        <f>Q68+Q69+Q70</f>
        <v/>
      </c>
      <c r="R71" s="6">
        <f>R68+R69+R70</f>
        <v/>
      </c>
      <c r="S71" s="6">
        <f>S68+S69+S70</f>
        <v/>
      </c>
    </row>
    <row r="72">
      <c r="A72" s="2" t="inlineStr">
        <is>
          <t>Shaded yellow: values from the model. Shaded blue: Excel formulas.</t>
        </is>
      </c>
    </row>
    <row r="74">
      <c r="A74" s="1" t="inlineStr">
        <is>
          <t>Plan base: cash</t>
        </is>
      </c>
    </row>
    <row r="75">
      <c r="A75" s="2" t="inlineStr">
        <is>
          <t>USD, monthly</t>
        </is>
      </c>
      <c r="B75" s="4" t="inlineStr">
        <is>
          <t>2026-09</t>
        </is>
      </c>
      <c r="C75" s="4" t="inlineStr">
        <is>
          <t>2026-10</t>
        </is>
      </c>
      <c r="D75" s="4" t="inlineStr">
        <is>
          <t>2026-11</t>
        </is>
      </c>
      <c r="E75" s="4" t="inlineStr">
        <is>
          <t>2026-12</t>
        </is>
      </c>
      <c r="F75" s="4" t="inlineStr">
        <is>
          <t>2027-01</t>
        </is>
      </c>
      <c r="G75" s="4" t="inlineStr">
        <is>
          <t>2027-02</t>
        </is>
      </c>
      <c r="H75" s="4" t="inlineStr">
        <is>
          <t>2027-03</t>
        </is>
      </c>
      <c r="I75" s="4" t="inlineStr">
        <is>
          <t>2027-04</t>
        </is>
      </c>
      <c r="J75" s="4" t="inlineStr">
        <is>
          <t>2027-05</t>
        </is>
      </c>
      <c r="K75" s="4" t="inlineStr">
        <is>
          <t>2027-06</t>
        </is>
      </c>
      <c r="L75" s="4" t="inlineStr">
        <is>
          <t>2027-07</t>
        </is>
      </c>
      <c r="M75" s="4" t="inlineStr">
        <is>
          <t>2027-08</t>
        </is>
      </c>
      <c r="N75" s="4" t="inlineStr">
        <is>
          <t>2027-09</t>
        </is>
      </c>
      <c r="O75" s="4" t="inlineStr">
        <is>
          <t>2027-10</t>
        </is>
      </c>
      <c r="P75" s="4" t="inlineStr">
        <is>
          <t>2027-11</t>
        </is>
      </c>
      <c r="Q75" s="4" t="inlineStr">
        <is>
          <t>2027-12</t>
        </is>
      </c>
      <c r="R75" s="4" t="inlineStr">
        <is>
          <t>2028-01</t>
        </is>
      </c>
      <c r="S75" s="4" t="inlineStr">
        <is>
          <t>2028-02</t>
        </is>
      </c>
    </row>
    <row r="76">
      <c r="A76" t="inlineStr">
        <is>
          <t>Opening cash</t>
        </is>
      </c>
      <c r="B76" s="6">
        <f>24750279.18739851</f>
        <v/>
      </c>
      <c r="C76" s="6">
        <f>B83</f>
        <v/>
      </c>
      <c r="D76" s="6">
        <f>C83</f>
        <v/>
      </c>
      <c r="E76" s="6">
        <f>D83</f>
        <v/>
      </c>
      <c r="F76" s="6">
        <f>E83</f>
        <v/>
      </c>
      <c r="G76" s="6">
        <f>F83</f>
        <v/>
      </c>
      <c r="H76" s="6">
        <f>G83</f>
        <v/>
      </c>
      <c r="I76" s="6">
        <f>H83</f>
        <v/>
      </c>
      <c r="J76" s="6">
        <f>I83</f>
        <v/>
      </c>
      <c r="K76" s="6">
        <f>J83</f>
        <v/>
      </c>
      <c r="L76" s="6">
        <f>K83</f>
        <v/>
      </c>
      <c r="M76" s="6">
        <f>L83</f>
        <v/>
      </c>
      <c r="N76" s="6">
        <f>M83</f>
        <v/>
      </c>
      <c r="O76" s="6">
        <f>N83</f>
        <v/>
      </c>
      <c r="P76" s="6">
        <f>O83</f>
        <v/>
      </c>
      <c r="Q76" s="6">
        <f>P83</f>
        <v/>
      </c>
      <c r="R76" s="6">
        <f>Q83</f>
        <v/>
      </c>
      <c r="S76" s="6">
        <f>R83</f>
        <v/>
      </c>
    </row>
    <row r="77">
      <c r="A77" t="inlineStr">
        <is>
          <t>EBITDA</t>
        </is>
      </c>
      <c r="B77" s="5" t="n">
        <v>-655565.1366327915</v>
      </c>
      <c r="C77" s="5" t="n">
        <v>-705182.064079223</v>
      </c>
      <c r="D77" s="5" t="n">
        <v>-691923.8536578962</v>
      </c>
      <c r="E77" s="5" t="n">
        <v>-683321.6741500874</v>
      </c>
      <c r="F77" s="5" t="n">
        <v>-685612.8358316899</v>
      </c>
      <c r="G77" s="5" t="n">
        <v>-635044.7925493191</v>
      </c>
      <c r="H77" s="5" t="n">
        <v>-685413.0006066726</v>
      </c>
      <c r="I77" s="5" t="n">
        <v>-577285.0536504814</v>
      </c>
      <c r="J77" s="5" t="n">
        <v>-602197.2087831714</v>
      </c>
      <c r="K77" s="5" t="n">
        <v>-579426.9605277386</v>
      </c>
      <c r="L77" s="5" t="n">
        <v>-404068.4176772418</v>
      </c>
      <c r="M77" s="5" t="n">
        <v>-361433.1669519488</v>
      </c>
      <c r="N77" s="5" t="n">
        <v>-411532.555675304</v>
      </c>
      <c r="O77" s="5" t="n">
        <v>-351301.2592196772</v>
      </c>
      <c r="P77" s="5" t="n">
        <v>-265824.1497368021</v>
      </c>
      <c r="Q77" s="5" t="n">
        <v>-330713.5739015248</v>
      </c>
      <c r="R77" s="5" t="n">
        <v>-40705.87632932793</v>
      </c>
      <c r="S77" s="5" t="n">
        <v>-10892.937025778</v>
      </c>
    </row>
    <row r="78">
      <c r="A78" t="inlineStr">
        <is>
          <t>Equipment capex</t>
        </is>
      </c>
      <c r="B78" s="5" t="n">
        <v>-0</v>
      </c>
      <c r="C78" s="5" t="n">
        <v>-10500</v>
      </c>
      <c r="D78" s="5" t="n">
        <v>-14000</v>
      </c>
      <c r="E78" s="5" t="n">
        <v>-0</v>
      </c>
      <c r="F78" s="5" t="n">
        <v>-28000</v>
      </c>
      <c r="G78" s="5" t="n">
        <v>-7000</v>
      </c>
      <c r="H78" s="5" t="n">
        <v>-7000</v>
      </c>
      <c r="I78" s="5" t="n">
        <v>-3500</v>
      </c>
      <c r="J78" s="5" t="n">
        <v>-7000</v>
      </c>
      <c r="K78" s="5" t="n">
        <v>-0</v>
      </c>
      <c r="L78" s="5" t="n">
        <v>-0</v>
      </c>
      <c r="M78" s="5" t="n">
        <v>-0</v>
      </c>
      <c r="N78" s="5" t="n">
        <v>-0</v>
      </c>
      <c r="O78" s="5" t="n">
        <v>-0</v>
      </c>
      <c r="P78" s="5" t="n">
        <v>-0</v>
      </c>
      <c r="Q78" s="5" t="n">
        <v>-3500</v>
      </c>
      <c r="R78" s="5" t="n">
        <v>-0</v>
      </c>
      <c r="S78" s="5" t="n">
        <v>-0</v>
      </c>
    </row>
    <row r="79">
      <c r="A79" t="inlineStr">
        <is>
          <t>Change in receivables</t>
        </is>
      </c>
      <c r="B79" s="5" t="n">
        <v>-75102.51732735522</v>
      </c>
      <c r="C79" s="5" t="n">
        <v>-75482.2262566248</v>
      </c>
      <c r="D79" s="5" t="n">
        <v>-73743.18355252128</v>
      </c>
      <c r="E79" s="5" t="n">
        <v>-89040.78062588722</v>
      </c>
      <c r="F79" s="5" t="n">
        <v>-224862.5972721372</v>
      </c>
      <c r="G79" s="5" t="n">
        <v>-80321.05167474039</v>
      </c>
      <c r="H79" s="5" t="n">
        <v>-95091.0401354772</v>
      </c>
      <c r="I79" s="5" t="n">
        <v>-87727.51416595699</v>
      </c>
      <c r="J79" s="5" t="n">
        <v>-96190.26029297197</v>
      </c>
      <c r="K79" s="5" t="n">
        <v>-106890.8852946246</v>
      </c>
      <c r="L79" s="5" t="n">
        <v>-86455.94108520914</v>
      </c>
      <c r="M79" s="5" t="n">
        <v>-88078.93992773211</v>
      </c>
      <c r="N79" s="5" t="n">
        <v>-107036.3989185691</v>
      </c>
      <c r="O79" s="5" t="n">
        <v>-107728.5959226172</v>
      </c>
      <c r="P79" s="5" t="n">
        <v>-103793.5861097705</v>
      </c>
      <c r="Q79" s="5" t="n">
        <v>-123100.6969533013</v>
      </c>
      <c r="R79" s="5" t="n">
        <v>-305165.0663712863</v>
      </c>
      <c r="S79" s="5" t="n">
        <v>-105018.2203928279</v>
      </c>
    </row>
    <row r="80">
      <c r="A80" t="inlineStr">
        <is>
          <t>Change in deferred revenue</t>
        </is>
      </c>
      <c r="B80" s="5" t="n">
        <v>110150.3587467885</v>
      </c>
      <c r="C80" s="5" t="n">
        <v>110707.2651763828</v>
      </c>
      <c r="D80" s="5" t="n">
        <v>108156.669210365</v>
      </c>
      <c r="E80" s="5" t="n">
        <v>130593.1449179668</v>
      </c>
      <c r="F80" s="5" t="n">
        <v>329798.4759991346</v>
      </c>
      <c r="G80" s="5" t="n">
        <v>117804.209122953</v>
      </c>
      <c r="H80" s="5" t="n">
        <v>139466.8588653663</v>
      </c>
      <c r="I80" s="5" t="n">
        <v>128667.0207767366</v>
      </c>
      <c r="J80" s="5" t="n">
        <v>141079.048429694</v>
      </c>
      <c r="K80" s="5" t="n">
        <v>156773.2984321136</v>
      </c>
      <c r="L80" s="5" t="n">
        <v>126802.0469249766</v>
      </c>
      <c r="M80" s="5" t="n">
        <v>129182.445227338</v>
      </c>
      <c r="N80" s="5" t="n">
        <v>156986.7184139024</v>
      </c>
      <c r="O80" s="5" t="n">
        <v>158001.9406865053</v>
      </c>
      <c r="P80" s="5" t="n">
        <v>152230.5929609966</v>
      </c>
      <c r="Q80" s="5" t="n">
        <v>180547.6888648402</v>
      </c>
      <c r="R80" s="5" t="n">
        <v>447575.4306778871</v>
      </c>
      <c r="S80" s="5" t="n">
        <v>154026.7232428156</v>
      </c>
    </row>
    <row r="81">
      <c r="A81" t="inlineStr">
        <is>
          <t>Financing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</row>
    <row r="82">
      <c r="A82" t="inlineStr">
        <is>
          <t>Net cash flow</t>
        </is>
      </c>
      <c r="B82" s="6">
        <f>B77+B78+B79+B80+B81</f>
        <v/>
      </c>
      <c r="C82" s="6">
        <f>C77+C78+C79+C80+C81</f>
        <v/>
      </c>
      <c r="D82" s="6">
        <f>D77+D78+D79+D80+D81</f>
        <v/>
      </c>
      <c r="E82" s="6">
        <f>E77+E78+E79+E80+E81</f>
        <v/>
      </c>
      <c r="F82" s="6">
        <f>F77+F78+F79+F80+F81</f>
        <v/>
      </c>
      <c r="G82" s="6">
        <f>G77+G78+G79+G80+G81</f>
        <v/>
      </c>
      <c r="H82" s="6">
        <f>H77+H78+H79+H80+H81</f>
        <v/>
      </c>
      <c r="I82" s="6">
        <f>I77+I78+I79+I80+I81</f>
        <v/>
      </c>
      <c r="J82" s="6">
        <f>J77+J78+J79+J80+J81</f>
        <v/>
      </c>
      <c r="K82" s="6">
        <f>K77+K78+K79+K80+K81</f>
        <v/>
      </c>
      <c r="L82" s="6">
        <f>L77+L78+L79+L80+L81</f>
        <v/>
      </c>
      <c r="M82" s="6">
        <f>M77+M78+M79+M80+M81</f>
        <v/>
      </c>
      <c r="N82" s="6">
        <f>N77+N78+N79+N80+N81</f>
        <v/>
      </c>
      <c r="O82" s="6">
        <f>O77+O78+O79+O80+O81</f>
        <v/>
      </c>
      <c r="P82" s="6">
        <f>P77+P78+P79+P80+P81</f>
        <v/>
      </c>
      <c r="Q82" s="6">
        <f>Q77+Q78+Q79+Q80+Q81</f>
        <v/>
      </c>
      <c r="R82" s="6">
        <f>R77+R78+R79+R80+R81</f>
        <v/>
      </c>
      <c r="S82" s="6">
        <f>S77+S78+S79+S80+S81</f>
        <v/>
      </c>
    </row>
    <row r="83">
      <c r="A83" t="inlineStr">
        <is>
          <t>Closing cash</t>
        </is>
      </c>
      <c r="B83" s="6">
        <f>B76+B82</f>
        <v/>
      </c>
      <c r="C83" s="6">
        <f>C76+C82</f>
        <v/>
      </c>
      <c r="D83" s="6">
        <f>D76+D82</f>
        <v/>
      </c>
      <c r="E83" s="6">
        <f>E76+E82</f>
        <v/>
      </c>
      <c r="F83" s="6">
        <f>F76+F82</f>
        <v/>
      </c>
      <c r="G83" s="6">
        <f>G76+G82</f>
        <v/>
      </c>
      <c r="H83" s="6">
        <f>H76+H82</f>
        <v/>
      </c>
      <c r="I83" s="6">
        <f>I76+I82</f>
        <v/>
      </c>
      <c r="J83" s="6">
        <f>J76+J82</f>
        <v/>
      </c>
      <c r="K83" s="6">
        <f>K76+K82</f>
        <v/>
      </c>
      <c r="L83" s="6">
        <f>L76+L82</f>
        <v/>
      </c>
      <c r="M83" s="6">
        <f>M76+M82</f>
        <v/>
      </c>
      <c r="N83" s="6">
        <f>N76+N82</f>
        <v/>
      </c>
      <c r="O83" s="6">
        <f>O76+O82</f>
        <v/>
      </c>
      <c r="P83" s="6">
        <f>P76+P82</f>
        <v/>
      </c>
      <c r="Q83" s="6">
        <f>Q76+Q82</f>
        <v/>
      </c>
      <c r="R83" s="6">
        <f>R76+R82</f>
        <v/>
      </c>
      <c r="S83" s="6">
        <f>S76+S82</f>
        <v/>
      </c>
    </row>
    <row r="84">
      <c r="A84" t="inlineStr">
        <is>
          <t>Receivables</t>
        </is>
      </c>
      <c r="B84" s="5" t="n">
        <v>3106612.061269089</v>
      </c>
      <c r="C84" s="5" t="n">
        <v>3182094.287525713</v>
      </c>
      <c r="D84" s="5" t="n">
        <v>3255837.471078235</v>
      </c>
      <c r="E84" s="5" t="n">
        <v>3344878.251704122</v>
      </c>
      <c r="F84" s="5" t="n">
        <v>3569740.848976259</v>
      </c>
      <c r="G84" s="5" t="n">
        <v>3650061.900651</v>
      </c>
      <c r="H84" s="5" t="n">
        <v>3745152.940786477</v>
      </c>
      <c r="I84" s="5" t="n">
        <v>3832880.454952434</v>
      </c>
      <c r="J84" s="5" t="n">
        <v>3929070.715245406</v>
      </c>
      <c r="K84" s="5" t="n">
        <v>4035961.60054003</v>
      </c>
      <c r="L84" s="5" t="n">
        <v>4122417.541625239</v>
      </c>
      <c r="M84" s="5" t="n">
        <v>4210496.481552972</v>
      </c>
      <c r="N84" s="5" t="n">
        <v>4317532.880471541</v>
      </c>
      <c r="O84" s="5" t="n">
        <v>4425261.476394158</v>
      </c>
      <c r="P84" s="5" t="n">
        <v>4529055.062503928</v>
      </c>
      <c r="Q84" s="5" t="n">
        <v>4652155.75945723</v>
      </c>
      <c r="R84" s="5" t="n">
        <v>4957320.825828516</v>
      </c>
      <c r="S84" s="5" t="n">
        <v>5062339.046221344</v>
      </c>
    </row>
    <row r="85">
      <c r="A85" t="inlineStr">
        <is>
          <t>Deferred revenue</t>
        </is>
      </c>
      <c r="B85" s="5" t="n">
        <v>4556364.356527997</v>
      </c>
      <c r="C85" s="5" t="n">
        <v>4667071.62170438</v>
      </c>
      <c r="D85" s="5" t="n">
        <v>4775228.290914745</v>
      </c>
      <c r="E85" s="5" t="n">
        <v>4905821.435832712</v>
      </c>
      <c r="F85" s="5" t="n">
        <v>5235619.911831846</v>
      </c>
      <c r="G85" s="5" t="n">
        <v>5353424.120954799</v>
      </c>
      <c r="H85" s="5" t="n">
        <v>5492890.979820166</v>
      </c>
      <c r="I85" s="5" t="n">
        <v>5621558.000596902</v>
      </c>
      <c r="J85" s="5" t="n">
        <v>5762637.049026596</v>
      </c>
      <c r="K85" s="5" t="n">
        <v>5919410.34745871</v>
      </c>
      <c r="L85" s="5" t="n">
        <v>6046212.394383687</v>
      </c>
      <c r="M85" s="5" t="n">
        <v>6175394.839611025</v>
      </c>
      <c r="N85" s="5" t="n">
        <v>6332381.558024927</v>
      </c>
      <c r="O85" s="5" t="n">
        <v>6490383.498711432</v>
      </c>
      <c r="P85" s="5" t="n">
        <v>6642614.091672429</v>
      </c>
      <c r="Q85" s="5" t="n">
        <v>6823161.780537269</v>
      </c>
      <c r="R85" s="5" t="n">
        <v>7270737.211215156</v>
      </c>
      <c r="S85" s="5" t="n">
        <v>7424763.934457972</v>
      </c>
    </row>
    <row r="86">
      <c r="A86" t="inlineStr">
        <is>
          <t>Net burn, trailing 3 months</t>
        </is>
      </c>
      <c r="B86" s="5" t="n">
        <v>620517.2952133582</v>
      </c>
      <c r="C86" s="5" t="n">
        <v>650487.1601864116</v>
      </c>
      <c r="D86" s="5" t="n">
        <v>657494.8961242918</v>
      </c>
      <c r="E86" s="5" t="n">
        <v>664578.9010058417</v>
      </c>
      <c r="F86" s="5" t="n">
        <v>640652.2116542509</v>
      </c>
      <c r="G86" s="5" t="n">
        <v>618335.9673546023</v>
      </c>
      <c r="H86" s="5" t="n">
        <v>620425.2580275275</v>
      </c>
      <c r="I86" s="5" t="n">
        <v>597481.4546725306</v>
      </c>
      <c r="J86" s="5" t="n">
        <v>584063.7165209783</v>
      </c>
      <c r="K86" s="5" t="n">
        <v>544566.1716921335</v>
      </c>
      <c r="L86" s="5" t="n">
        <v>485858.4266247244</v>
      </c>
      <c r="M86" s="5" t="n">
        <v>404532.1736266889</v>
      </c>
      <c r="N86" s="5" t="n">
        <v>348544.7365565959</v>
      </c>
      <c r="O86" s="5" t="n">
        <v>327646.6040960343</v>
      </c>
      <c r="P86" s="5" t="n">
        <v>293332.4311737786</v>
      </c>
      <c r="Q86" s="5" t="n">
        <v>265060.5464437837</v>
      </c>
      <c r="R86" s="5" t="n">
        <v>130816.4122994297</v>
      </c>
      <c r="S86" s="5" t="n">
        <v>45648.84272950111</v>
      </c>
    </row>
    <row r="87">
      <c r="A87" t="inlineStr">
        <is>
          <t>Runway (months)</t>
        </is>
      </c>
      <c r="B87" s="8" t="n">
        <v>38.88652593299336</v>
      </c>
      <c r="C87" s="8" t="n">
        <v>36.04883586065829</v>
      </c>
      <c r="D87" s="8" t="n">
        <v>34.64330237891269</v>
      </c>
      <c r="E87" s="8" t="n">
        <v>33.30834782095053</v>
      </c>
      <c r="F87" s="8" t="n">
        <v>33.60223821982351</v>
      </c>
      <c r="G87" s="8" t="n">
        <v>33.8372465804873</v>
      </c>
      <c r="H87" s="8" t="n">
        <v>32.67879434751426</v>
      </c>
      <c r="I87" s="8" t="n">
        <v>33.03015300928747</v>
      </c>
      <c r="J87" s="8" t="n">
        <v>32.82278098285245</v>
      </c>
      <c r="K87" s="8" t="n">
        <v>34.23101152626723</v>
      </c>
      <c r="L87" s="8" t="n">
        <v>37.61863042109697</v>
      </c>
      <c r="M87" s="8" t="n">
        <v>44.38954450898616</v>
      </c>
      <c r="N87" s="8" t="n">
        <v>50.48252016131578</v>
      </c>
      <c r="O87" s="8" t="n">
        <v>52.78366557040226</v>
      </c>
      <c r="P87" s="8" t="n">
        <v>58.21723007123131</v>
      </c>
      <c r="Q87" s="8" t="n">
        <v>63.3826319171595</v>
      </c>
      <c r="R87" s="8" t="n">
        <v>129.2035092683738</v>
      </c>
      <c r="S87" s="8" t="n">
        <v>371.0949520711786</v>
      </c>
    </row>
    <row r="88">
      <c r="A88" s="2" t="inlineStr">
        <is>
          <t>Shaded yellow: values from the model. Shaded blue: Excel formulas.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Plan upside: P&amp;L</t>
        </is>
      </c>
    </row>
    <row r="2">
      <c r="A2" s="2" t="inlineStr">
        <is>
          <t>USD, monthly</t>
        </is>
      </c>
      <c r="B2" s="4" t="inlineStr">
        <is>
          <t>2026-09</t>
        </is>
      </c>
      <c r="C2" s="4" t="inlineStr">
        <is>
          <t>2026-10</t>
        </is>
      </c>
      <c r="D2" s="4" t="inlineStr">
        <is>
          <t>2026-11</t>
        </is>
      </c>
      <c r="E2" s="4" t="inlineStr">
        <is>
          <t>2026-12</t>
        </is>
      </c>
      <c r="F2" s="4" t="inlineStr">
        <is>
          <t>2027-01</t>
        </is>
      </c>
      <c r="G2" s="4" t="inlineStr">
        <is>
          <t>2027-02</t>
        </is>
      </c>
      <c r="H2" s="4" t="inlineStr">
        <is>
          <t>2027-03</t>
        </is>
      </c>
      <c r="I2" s="4" t="inlineStr">
        <is>
          <t>2027-04</t>
        </is>
      </c>
      <c r="J2" s="4" t="inlineStr">
        <is>
          <t>2027-05</t>
        </is>
      </c>
      <c r="K2" s="4" t="inlineStr">
        <is>
          <t>2027-06</t>
        </is>
      </c>
      <c r="L2" s="4" t="inlineStr">
        <is>
          <t>2027-07</t>
        </is>
      </c>
      <c r="M2" s="4" t="inlineStr">
        <is>
          <t>2027-08</t>
        </is>
      </c>
      <c r="N2" s="4" t="inlineStr">
        <is>
          <t>2027-09</t>
        </is>
      </c>
      <c r="O2" s="4" t="inlineStr">
        <is>
          <t>2027-10</t>
        </is>
      </c>
      <c r="P2" s="4" t="inlineStr">
        <is>
          <t>2027-11</t>
        </is>
      </c>
      <c r="Q2" s="4" t="inlineStr">
        <is>
          <t>2027-12</t>
        </is>
      </c>
      <c r="R2" s="4" t="inlineStr">
        <is>
          <t>2028-01</t>
        </is>
      </c>
      <c r="S2" s="4" t="inlineStr">
        <is>
          <t>2028-02</t>
        </is>
      </c>
    </row>
    <row r="3">
      <c r="A3" t="inlineStr">
        <is>
          <t>Platform revenue</t>
        </is>
      </c>
      <c r="B3" s="5" t="n">
        <v>1910656.687304843</v>
      </c>
      <c r="C3" s="5" t="n">
        <v>1966360.977137992</v>
      </c>
      <c r="D3" s="5" t="n">
        <v>2020641.666277346</v>
      </c>
      <c r="E3" s="5" t="n">
        <v>2085983.103739543</v>
      </c>
      <c r="F3" s="5" t="n">
        <v>2286418.9306881</v>
      </c>
      <c r="G3" s="5" t="n">
        <v>2346712.189971179</v>
      </c>
      <c r="H3" s="5" t="n">
        <v>2417825.198509601</v>
      </c>
      <c r="I3" s="5" t="n">
        <v>2481968.6271239</v>
      </c>
      <c r="J3" s="5" t="n">
        <v>2552116.130199782</v>
      </c>
      <c r="K3" s="5" t="n">
        <v>2629859.974942102</v>
      </c>
      <c r="L3" s="5" t="n">
        <v>2692345.732684943</v>
      </c>
      <c r="M3" s="5" t="n">
        <v>2755774.326932054</v>
      </c>
      <c r="N3" s="5" t="n">
        <v>2832721.363403858</v>
      </c>
      <c r="O3" s="5" t="n">
        <v>2909858.17202578</v>
      </c>
      <c r="P3" s="5" t="n">
        <v>2983844.718277138</v>
      </c>
      <c r="Q3" s="5" t="n">
        <v>3071375.745511073</v>
      </c>
      <c r="R3" s="5" t="n">
        <v>3358284.967970388</v>
      </c>
      <c r="S3" s="5" t="n">
        <v>3434479.821515176</v>
      </c>
    </row>
    <row r="4">
      <c r="A4" t="inlineStr">
        <is>
          <t>Insights revenue</t>
        </is>
      </c>
      <c r="B4" s="5" t="n">
        <v>178411.4718212093</v>
      </c>
      <c r="C4" s="5" t="n">
        <v>191495.4933777033</v>
      </c>
      <c r="D4" s="5" t="n">
        <v>205006.6387539499</v>
      </c>
      <c r="E4" s="5" t="n">
        <v>220430.5467909413</v>
      </c>
      <c r="F4" s="5" t="n">
        <v>234797.7551193056</v>
      </c>
      <c r="G4" s="5" t="n">
        <v>250426.9094691107</v>
      </c>
      <c r="H4" s="5" t="n">
        <v>268092.0870820032</v>
      </c>
      <c r="I4" s="5" t="n">
        <v>286911.7217045559</v>
      </c>
      <c r="J4" s="5" t="n">
        <v>307390.6947301406</v>
      </c>
      <c r="K4" s="5" t="n">
        <v>329890.7291685782</v>
      </c>
      <c r="L4" s="5" t="n">
        <v>351069.5491987224</v>
      </c>
      <c r="M4" s="5" t="n">
        <v>373257.0583271856</v>
      </c>
      <c r="N4" s="5" t="n">
        <v>398593.8454822839</v>
      </c>
      <c r="O4" s="5" t="n">
        <v>425045.4049142282</v>
      </c>
      <c r="P4" s="5" t="n">
        <v>452034.2569496182</v>
      </c>
      <c r="Q4" s="5" t="n">
        <v>482680.0069167053</v>
      </c>
      <c r="R4" s="5" t="n">
        <v>510724.2276565494</v>
      </c>
      <c r="S4" s="5" t="n">
        <v>540545.6731871219</v>
      </c>
    </row>
    <row r="5">
      <c r="A5" t="inlineStr">
        <is>
          <t>Revenue</t>
        </is>
      </c>
      <c r="B5" s="6">
        <f>B3+B4</f>
        <v/>
      </c>
      <c r="C5" s="6">
        <f>C3+C4</f>
        <v/>
      </c>
      <c r="D5" s="6">
        <f>D3+D4</f>
        <v/>
      </c>
      <c r="E5" s="6">
        <f>E3+E4</f>
        <v/>
      </c>
      <c r="F5" s="6">
        <f>F3+F4</f>
        <v/>
      </c>
      <c r="G5" s="6">
        <f>G3+G4</f>
        <v/>
      </c>
      <c r="H5" s="6">
        <f>H3+H4</f>
        <v/>
      </c>
      <c r="I5" s="6">
        <f>I3+I4</f>
        <v/>
      </c>
      <c r="J5" s="6">
        <f>J3+J4</f>
        <v/>
      </c>
      <c r="K5" s="6">
        <f>K3+K4</f>
        <v/>
      </c>
      <c r="L5" s="6">
        <f>L3+L4</f>
        <v/>
      </c>
      <c r="M5" s="6">
        <f>M3+M4</f>
        <v/>
      </c>
      <c r="N5" s="6">
        <f>N3+N4</f>
        <v/>
      </c>
      <c r="O5" s="6">
        <f>O3+O4</f>
        <v/>
      </c>
      <c r="P5" s="6">
        <f>P3+P4</f>
        <v/>
      </c>
      <c r="Q5" s="6">
        <f>Q3+Q4</f>
        <v/>
      </c>
      <c r="R5" s="6">
        <f>R3+R4</f>
        <v/>
      </c>
      <c r="S5" s="6">
        <f>S3+S4</f>
        <v/>
      </c>
    </row>
    <row r="6">
      <c r="A6" t="inlineStr">
        <is>
          <t>Cloud hosting</t>
        </is>
      </c>
      <c r="B6" s="5" t="n">
        <v>152780.3627726187</v>
      </c>
      <c r="C6" s="5" t="n">
        <v>158372.2589766351</v>
      </c>
      <c r="D6" s="5" t="n">
        <v>163929.892385989</v>
      </c>
      <c r="E6" s="5" t="n">
        <v>171801.6257132024</v>
      </c>
      <c r="F6" s="5" t="n">
        <v>179213.6356055123</v>
      </c>
      <c r="G6" s="5" t="n">
        <v>187250.378251499</v>
      </c>
      <c r="H6" s="5" t="n">
        <v>196475.5382916441</v>
      </c>
      <c r="I6" s="5" t="n">
        <v>205868.6358670306</v>
      </c>
      <c r="J6" s="5" t="n">
        <v>216015.7086105744</v>
      </c>
      <c r="K6" s="5" t="n">
        <v>227119.0754785956</v>
      </c>
      <c r="L6" s="5" t="n">
        <v>236682.2795400533</v>
      </c>
      <c r="M6" s="5" t="n">
        <v>246447.3837878355</v>
      </c>
      <c r="N6" s="5" t="n">
        <v>257864.4103654223</v>
      </c>
      <c r="O6" s="5" t="n">
        <v>269437.4044180418</v>
      </c>
      <c r="P6" s="5" t="n">
        <v>280762.9069817032</v>
      </c>
      <c r="Q6" s="5" t="n">
        <v>293850.0674659602</v>
      </c>
      <c r="R6" s="5" t="n">
        <v>304634.1243557568</v>
      </c>
      <c r="S6" s="5" t="n">
        <v>315944.5196137141</v>
      </c>
    </row>
    <row r="7">
      <c r="A7" t="inlineStr">
        <is>
          <t>Third-party software and data</t>
        </is>
      </c>
      <c r="B7" s="5" t="n">
        <v>62672.04477378155</v>
      </c>
      <c r="C7" s="5" t="n">
        <v>64735.69411547088</v>
      </c>
      <c r="D7" s="5" t="n">
        <v>66769.44915093886</v>
      </c>
      <c r="E7" s="5" t="n">
        <v>69192.40951591452</v>
      </c>
      <c r="F7" s="5" t="n">
        <v>75636.50057422217</v>
      </c>
      <c r="G7" s="5" t="n">
        <v>77914.17298320869</v>
      </c>
      <c r="H7" s="5" t="n">
        <v>80577.51856774813</v>
      </c>
      <c r="I7" s="5" t="n">
        <v>83066.41046485366</v>
      </c>
      <c r="J7" s="5" t="n">
        <v>85785.20474789767</v>
      </c>
      <c r="K7" s="5" t="n">
        <v>88792.5211233204</v>
      </c>
      <c r="L7" s="5" t="n">
        <v>91302.45845650996</v>
      </c>
      <c r="M7" s="5" t="n">
        <v>93870.9415577772</v>
      </c>
      <c r="N7" s="5" t="n">
        <v>96939.45626658425</v>
      </c>
      <c r="O7" s="5" t="n">
        <v>100047.1073082002</v>
      </c>
      <c r="P7" s="5" t="n">
        <v>103076.3692568027</v>
      </c>
      <c r="Q7" s="5" t="n">
        <v>106621.6725728334</v>
      </c>
      <c r="R7" s="5" t="n">
        <v>116070.2758688081</v>
      </c>
      <c r="S7" s="5" t="n">
        <v>119250.7648410689</v>
      </c>
    </row>
    <row r="8">
      <c r="A8" t="inlineStr">
        <is>
          <t>Payment processing</t>
        </is>
      </c>
      <c r="B8" s="5" t="n">
        <v>31336.02238689077</v>
      </c>
      <c r="C8" s="5" t="n">
        <v>32367.84705773544</v>
      </c>
      <c r="D8" s="5" t="n">
        <v>33384.72457546943</v>
      </c>
      <c r="E8" s="5" t="n">
        <v>34596.20475795726</v>
      </c>
      <c r="F8" s="5" t="n">
        <v>37818.25028711108</v>
      </c>
      <c r="G8" s="5" t="n">
        <v>38957.08649160434</v>
      </c>
      <c r="H8" s="5" t="n">
        <v>40288.75928387407</v>
      </c>
      <c r="I8" s="5" t="n">
        <v>41533.20523242684</v>
      </c>
      <c r="J8" s="5" t="n">
        <v>42892.60237394884</v>
      </c>
      <c r="K8" s="5" t="n">
        <v>44396.2605616602</v>
      </c>
      <c r="L8" s="5" t="n">
        <v>45651.22922825499</v>
      </c>
      <c r="M8" s="5" t="n">
        <v>46935.4707788886</v>
      </c>
      <c r="N8" s="5" t="n">
        <v>48469.72813329213</v>
      </c>
      <c r="O8" s="5" t="n">
        <v>50023.55365410012</v>
      </c>
      <c r="P8" s="5" t="n">
        <v>51538.18462840134</v>
      </c>
      <c r="Q8" s="5" t="n">
        <v>53310.83628641668</v>
      </c>
      <c r="R8" s="5" t="n">
        <v>58035.13793440407</v>
      </c>
      <c r="S8" s="5" t="n">
        <v>59625.38242053447</v>
      </c>
    </row>
    <row r="9">
      <c r="A9" t="inlineStr">
        <is>
          <t>Customer operations payroll</t>
        </is>
      </c>
      <c r="B9" s="5" t="n">
        <v>276901.4809193134</v>
      </c>
      <c r="C9" s="5" t="n">
        <v>276901.4809193134</v>
      </c>
      <c r="D9" s="5" t="n">
        <v>276901.4809193134</v>
      </c>
      <c r="E9" s="5" t="n">
        <v>276901.4809193134</v>
      </c>
      <c r="F9" s="5" t="n">
        <v>286593.0327514894</v>
      </c>
      <c r="G9" s="5" t="n">
        <v>286593.0327514894</v>
      </c>
      <c r="H9" s="5" t="n">
        <v>286593.0327514894</v>
      </c>
      <c r="I9" s="5" t="n">
        <v>286593.0327514894</v>
      </c>
      <c r="J9" s="5" t="n">
        <v>286593.0327514894</v>
      </c>
      <c r="K9" s="5" t="n">
        <v>286593.0327514894</v>
      </c>
      <c r="L9" s="5" t="n">
        <v>296234.7627514894</v>
      </c>
      <c r="M9" s="5" t="n">
        <v>296234.7627514894</v>
      </c>
      <c r="N9" s="5" t="n">
        <v>296234.7627514894</v>
      </c>
      <c r="O9" s="5" t="n">
        <v>305876.4927514894</v>
      </c>
      <c r="P9" s="5" t="n">
        <v>305876.4927514894</v>
      </c>
      <c r="Q9" s="5" t="n">
        <v>305876.4927514894</v>
      </c>
      <c r="R9" s="5" t="n">
        <v>326223.8999977915</v>
      </c>
      <c r="S9" s="5" t="n">
        <v>326223.8999977915</v>
      </c>
    </row>
    <row r="10">
      <c r="A10" t="inlineStr">
        <is>
          <t>Customer operations recruiting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13500</v>
      </c>
      <c r="M10" s="5" t="n">
        <v>0</v>
      </c>
      <c r="N10" s="5" t="n">
        <v>0</v>
      </c>
      <c r="O10" s="5" t="n">
        <v>13500</v>
      </c>
      <c r="P10" s="5" t="n">
        <v>0</v>
      </c>
      <c r="Q10" s="5" t="n">
        <v>0</v>
      </c>
      <c r="R10" s="5" t="n">
        <v>13500</v>
      </c>
      <c r="S10" s="5" t="n">
        <v>0</v>
      </c>
    </row>
    <row r="11">
      <c r="A11" t="inlineStr">
        <is>
          <t>Cost of revenue</t>
        </is>
      </c>
      <c r="B11" s="6">
        <f>B6+B7+B8+B9+B10</f>
        <v/>
      </c>
      <c r="C11" s="6">
        <f>C6+C7+C8+C9+C10</f>
        <v/>
      </c>
      <c r="D11" s="6">
        <f>D6+D7+D8+D9+D10</f>
        <v/>
      </c>
      <c r="E11" s="6">
        <f>E6+E7+E8+E9+E10</f>
        <v/>
      </c>
      <c r="F11" s="6">
        <f>F6+F7+F8+F9+F10</f>
        <v/>
      </c>
      <c r="G11" s="6">
        <f>G6+G7+G8+G9+G10</f>
        <v/>
      </c>
      <c r="H11" s="6">
        <f>H6+H7+H8+H9+H10</f>
        <v/>
      </c>
      <c r="I11" s="6">
        <f>I6+I7+I8+I9+I10</f>
        <v/>
      </c>
      <c r="J11" s="6">
        <f>J6+J7+J8+J9+J10</f>
        <v/>
      </c>
      <c r="K11" s="6">
        <f>K6+K7+K8+K9+K10</f>
        <v/>
      </c>
      <c r="L11" s="6">
        <f>L6+L7+L8+L9+L10</f>
        <v/>
      </c>
      <c r="M11" s="6">
        <f>M6+M7+M8+M9+M10</f>
        <v/>
      </c>
      <c r="N11" s="6">
        <f>N6+N7+N8+N9+N10</f>
        <v/>
      </c>
      <c r="O11" s="6">
        <f>O6+O7+O8+O9+O10</f>
        <v/>
      </c>
      <c r="P11" s="6">
        <f>P6+P7+P8+P9+P10</f>
        <v/>
      </c>
      <c r="Q11" s="6">
        <f>Q6+Q7+Q8+Q9+Q10</f>
        <v/>
      </c>
      <c r="R11" s="6">
        <f>R6+R7+R8+R9+R10</f>
        <v/>
      </c>
      <c r="S11" s="6">
        <f>S6+S7+S8+S9+S10</f>
        <v/>
      </c>
    </row>
    <row r="12">
      <c r="A12" t="inlineStr">
        <is>
          <t>Gross profit</t>
        </is>
      </c>
      <c r="B12" s="6">
        <f>B5-B11</f>
        <v/>
      </c>
      <c r="C12" s="6">
        <f>C5-C11</f>
        <v/>
      </c>
      <c r="D12" s="6">
        <f>D5-D11</f>
        <v/>
      </c>
      <c r="E12" s="6">
        <f>E5-E11</f>
        <v/>
      </c>
      <c r="F12" s="6">
        <f>F5-F11</f>
        <v/>
      </c>
      <c r="G12" s="6">
        <f>G5-G11</f>
        <v/>
      </c>
      <c r="H12" s="6">
        <f>H5-H11</f>
        <v/>
      </c>
      <c r="I12" s="6">
        <f>I5-I11</f>
        <v/>
      </c>
      <c r="J12" s="6">
        <f>J5-J11</f>
        <v/>
      </c>
      <c r="K12" s="6">
        <f>K5-K11</f>
        <v/>
      </c>
      <c r="L12" s="6">
        <f>L5-L11</f>
        <v/>
      </c>
      <c r="M12" s="6">
        <f>M5-M11</f>
        <v/>
      </c>
      <c r="N12" s="6">
        <f>N5-N11</f>
        <v/>
      </c>
      <c r="O12" s="6">
        <f>O5-O11</f>
        <v/>
      </c>
      <c r="P12" s="6">
        <f>P5-P11</f>
        <v/>
      </c>
      <c r="Q12" s="6">
        <f>Q5-Q11</f>
        <v/>
      </c>
      <c r="R12" s="6">
        <f>R5-R11</f>
        <v/>
      </c>
      <c r="S12" s="6">
        <f>S5-S11</f>
        <v/>
      </c>
    </row>
    <row r="13">
      <c r="A13" t="inlineStr">
        <is>
          <t>Gross margin</t>
        </is>
      </c>
      <c r="B13" s="7">
        <f>IF(B5=0,0,B12/B5)</f>
        <v/>
      </c>
      <c r="C13" s="7">
        <f>IF(C5=0,0,C12/C5)</f>
        <v/>
      </c>
      <c r="D13" s="7">
        <f>IF(D5=0,0,D12/D5)</f>
        <v/>
      </c>
      <c r="E13" s="7">
        <f>IF(E5=0,0,E12/E5)</f>
        <v/>
      </c>
      <c r="F13" s="7">
        <f>IF(F5=0,0,F12/F5)</f>
        <v/>
      </c>
      <c r="G13" s="7">
        <f>IF(G5=0,0,G12/G5)</f>
        <v/>
      </c>
      <c r="H13" s="7">
        <f>IF(H5=0,0,H12/H5)</f>
        <v/>
      </c>
      <c r="I13" s="7">
        <f>IF(I5=0,0,I12/I5)</f>
        <v/>
      </c>
      <c r="J13" s="7">
        <f>IF(J5=0,0,J12/J5)</f>
        <v/>
      </c>
      <c r="K13" s="7">
        <f>IF(K5=0,0,K12/K5)</f>
        <v/>
      </c>
      <c r="L13" s="7">
        <f>IF(L5=0,0,L12/L5)</f>
        <v/>
      </c>
      <c r="M13" s="7">
        <f>IF(M5=0,0,M12/M5)</f>
        <v/>
      </c>
      <c r="N13" s="7">
        <f>IF(N5=0,0,N12/N5)</f>
        <v/>
      </c>
      <c r="O13" s="7">
        <f>IF(O5=0,0,O12/O5)</f>
        <v/>
      </c>
      <c r="P13" s="7">
        <f>IF(P5=0,0,P12/P5)</f>
        <v/>
      </c>
      <c r="Q13" s="7">
        <f>IF(Q5=0,0,Q12/Q5)</f>
        <v/>
      </c>
      <c r="R13" s="7">
        <f>IF(R5=0,0,R12/R5)</f>
        <v/>
      </c>
      <c r="S13" s="7">
        <f>IF(S5=0,0,S12/S5)</f>
        <v/>
      </c>
    </row>
    <row r="14">
      <c r="A14" t="inlineStr">
        <is>
          <t>R&amp;D payroll</t>
        </is>
      </c>
      <c r="B14" s="5" t="n">
        <v>917162.2833986612</v>
      </c>
      <c r="C14" s="5" t="n">
        <v>942862.7833986612</v>
      </c>
      <c r="D14" s="5" t="n">
        <v>983087.5367319945</v>
      </c>
      <c r="E14" s="5" t="n">
        <v>983087.5367319945</v>
      </c>
      <c r="F14" s="5" t="n">
        <v>1054404.033850948</v>
      </c>
      <c r="G14" s="5" t="n">
        <v>1067983.403850948</v>
      </c>
      <c r="H14" s="5" t="n">
        <v>1087515.783850948</v>
      </c>
      <c r="I14" s="5" t="n">
        <v>1087515.783850948</v>
      </c>
      <c r="J14" s="5" t="n">
        <v>1108208.157184281</v>
      </c>
      <c r="K14" s="5" t="n">
        <v>1108208.157184281</v>
      </c>
      <c r="L14" s="5" t="n">
        <v>1108208.157184281</v>
      </c>
      <c r="M14" s="5" t="n">
        <v>1108208.157184281</v>
      </c>
      <c r="N14" s="5" t="n">
        <v>1108208.157184281</v>
      </c>
      <c r="O14" s="5" t="n">
        <v>1108208.157184281</v>
      </c>
      <c r="P14" s="5" t="n">
        <v>1108208.157184281</v>
      </c>
      <c r="Q14" s="5" t="n">
        <v>1108208.157184281</v>
      </c>
      <c r="R14" s="5" t="n">
        <v>1146995.442685731</v>
      </c>
      <c r="S14" s="5" t="n">
        <v>1146995.442685731</v>
      </c>
    </row>
    <row r="15">
      <c r="A15" t="inlineStr">
        <is>
          <t>R&amp;D recruiting</t>
        </is>
      </c>
      <c r="B15" s="5" t="n">
        <v>0</v>
      </c>
      <c r="C15" s="5" t="n">
        <v>37500</v>
      </c>
      <c r="D15" s="5" t="n">
        <v>52500</v>
      </c>
      <c r="E15" s="5" t="n">
        <v>0</v>
      </c>
      <c r="F15" s="5" t="n">
        <v>46500</v>
      </c>
      <c r="G15" s="5" t="n">
        <v>15750</v>
      </c>
      <c r="H15" s="5" t="n">
        <v>28500</v>
      </c>
      <c r="I15" s="5" t="n">
        <v>0</v>
      </c>
      <c r="J15" s="5" t="n">
        <v>24000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</row>
    <row r="16">
      <c r="A16" t="inlineStr">
        <is>
          <t>R&amp;D tooling</t>
        </is>
      </c>
      <c r="B16" s="5" t="n">
        <v>31752</v>
      </c>
      <c r="C16" s="5" t="n">
        <v>32634</v>
      </c>
      <c r="D16" s="5" t="n">
        <v>34398</v>
      </c>
      <c r="E16" s="5" t="n">
        <v>34398</v>
      </c>
      <c r="F16" s="5" t="n">
        <v>35721</v>
      </c>
      <c r="G16" s="5" t="n">
        <v>36162</v>
      </c>
      <c r="H16" s="5" t="n">
        <v>37044</v>
      </c>
      <c r="I16" s="5" t="n">
        <v>37044</v>
      </c>
      <c r="J16" s="5" t="n">
        <v>37926</v>
      </c>
      <c r="K16" s="5" t="n">
        <v>37926</v>
      </c>
      <c r="L16" s="5" t="n">
        <v>37926</v>
      </c>
      <c r="M16" s="5" t="n">
        <v>37926</v>
      </c>
      <c r="N16" s="5" t="n">
        <v>37926</v>
      </c>
      <c r="O16" s="5" t="n">
        <v>37926</v>
      </c>
      <c r="P16" s="5" t="n">
        <v>37926</v>
      </c>
      <c r="Q16" s="5" t="n">
        <v>37926</v>
      </c>
      <c r="R16" s="5" t="n">
        <v>37926</v>
      </c>
      <c r="S16" s="5" t="n">
        <v>37926</v>
      </c>
    </row>
    <row r="17">
      <c r="A17" t="inlineStr">
        <is>
          <t>R&amp;D contractors</t>
        </is>
      </c>
      <c r="B17" s="5" t="n">
        <v>60000</v>
      </c>
      <c r="C17" s="5" t="n">
        <v>60000</v>
      </c>
      <c r="D17" s="5" t="n">
        <v>60000</v>
      </c>
      <c r="E17" s="5" t="n">
        <v>60000</v>
      </c>
      <c r="F17" s="5" t="n">
        <v>60000</v>
      </c>
      <c r="G17" s="5" t="n">
        <v>60000</v>
      </c>
      <c r="H17" s="5" t="n">
        <v>60000</v>
      </c>
      <c r="I17" s="5" t="n">
        <v>60000</v>
      </c>
      <c r="J17" s="5" t="n">
        <v>60000</v>
      </c>
      <c r="K17" s="5" t="n">
        <v>60000</v>
      </c>
      <c r="L17" s="5" t="n">
        <v>60000</v>
      </c>
      <c r="M17" s="5" t="n">
        <v>60000</v>
      </c>
      <c r="N17" s="5" t="n">
        <v>60000</v>
      </c>
      <c r="O17" s="5" t="n">
        <v>60000</v>
      </c>
      <c r="P17" s="5" t="n">
        <v>60000</v>
      </c>
      <c r="Q17" s="5" t="n">
        <v>60000</v>
      </c>
      <c r="R17" s="5" t="n">
        <v>60000</v>
      </c>
      <c r="S17" s="5" t="n">
        <v>60000</v>
      </c>
    </row>
    <row r="18">
      <c r="A18" t="inlineStr">
        <is>
          <t>R&amp;D total</t>
        </is>
      </c>
      <c r="B18" s="6">
        <f>B14+B15+B16+B17</f>
        <v/>
      </c>
      <c r="C18" s="6">
        <f>C14+C15+C16+C17</f>
        <v/>
      </c>
      <c r="D18" s="6">
        <f>D14+D15+D16+D17</f>
        <v/>
      </c>
      <c r="E18" s="6">
        <f>E14+E15+E16+E17</f>
        <v/>
      </c>
      <c r="F18" s="6">
        <f>F14+F15+F16+F17</f>
        <v/>
      </c>
      <c r="G18" s="6">
        <f>G14+G15+G16+G17</f>
        <v/>
      </c>
      <c r="H18" s="6">
        <f>H14+H15+H16+H17</f>
        <v/>
      </c>
      <c r="I18" s="6">
        <f>I14+I15+I16+I17</f>
        <v/>
      </c>
      <c r="J18" s="6">
        <f>J14+J15+J16+J17</f>
        <v/>
      </c>
      <c r="K18" s="6">
        <f>K14+K15+K16+K17</f>
        <v/>
      </c>
      <c r="L18" s="6">
        <f>L14+L15+L16+L17</f>
        <v/>
      </c>
      <c r="M18" s="6">
        <f>M14+M15+M16+M17</f>
        <v/>
      </c>
      <c r="N18" s="6">
        <f>N14+N15+N16+N17</f>
        <v/>
      </c>
      <c r="O18" s="6">
        <f>O14+O15+O16+O17</f>
        <v/>
      </c>
      <c r="P18" s="6">
        <f>P14+P15+P16+P17</f>
        <v/>
      </c>
      <c r="Q18" s="6">
        <f>Q14+Q15+Q16+Q17</f>
        <v/>
      </c>
      <c r="R18" s="6">
        <f>R14+R15+R16+R17</f>
        <v/>
      </c>
      <c r="S18" s="6">
        <f>S14+S15+S16+S17</f>
        <v/>
      </c>
    </row>
    <row r="19">
      <c r="A19" t="inlineStr">
        <is>
          <t>Sales and marketing payroll</t>
        </is>
      </c>
      <c r="B19" s="5" t="n">
        <v>313737.7209094683</v>
      </c>
      <c r="C19" s="5" t="n">
        <v>324742.3042428016</v>
      </c>
      <c r="D19" s="5" t="n">
        <v>324742.3042428016</v>
      </c>
      <c r="E19" s="5" t="n">
        <v>324742.3042428016</v>
      </c>
      <c r="F19" s="5" t="n">
        <v>371122.868224633</v>
      </c>
      <c r="G19" s="5" t="n">
        <v>383978.5082246329</v>
      </c>
      <c r="H19" s="5" t="n">
        <v>383978.5082246329</v>
      </c>
      <c r="I19" s="5" t="n">
        <v>394983.0915579663</v>
      </c>
      <c r="J19" s="5" t="n">
        <v>394983.0915579663</v>
      </c>
      <c r="K19" s="5" t="n">
        <v>394983.0915579663</v>
      </c>
      <c r="L19" s="5" t="n">
        <v>394983.0915579663</v>
      </c>
      <c r="M19" s="5" t="n">
        <v>394983.0915579663</v>
      </c>
      <c r="N19" s="5" t="n">
        <v>394983.0915579663</v>
      </c>
      <c r="O19" s="5" t="n">
        <v>394983.0915579663</v>
      </c>
      <c r="P19" s="5" t="n">
        <v>394983.0915579663</v>
      </c>
      <c r="Q19" s="5" t="n">
        <v>394983.0915579663</v>
      </c>
      <c r="R19" s="5" t="n">
        <v>408807.4997624951</v>
      </c>
      <c r="S19" s="5" t="n">
        <v>408807.4997624951</v>
      </c>
    </row>
    <row r="20">
      <c r="A20" t="inlineStr">
        <is>
          <t>Sales and marketing recruiting</t>
        </is>
      </c>
      <c r="B20" s="5" t="n">
        <v>0</v>
      </c>
      <c r="C20" s="5" t="n">
        <v>16500</v>
      </c>
      <c r="D20" s="5" t="n">
        <v>0</v>
      </c>
      <c r="E20" s="5" t="n">
        <v>0</v>
      </c>
      <c r="F20" s="5" t="n">
        <v>52500</v>
      </c>
      <c r="G20" s="5" t="n">
        <v>18000</v>
      </c>
      <c r="H20" s="5" t="n">
        <v>0</v>
      </c>
      <c r="I20" s="5" t="n">
        <v>16500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</row>
    <row r="21">
      <c r="A21" t="inlineStr">
        <is>
          <t>Sales commission</t>
        </is>
      </c>
      <c r="B21" s="5" t="n">
        <v>82095.11413822988</v>
      </c>
      <c r="C21" s="5" t="n">
        <v>82721.28936884114</v>
      </c>
      <c r="D21" s="5" t="n">
        <v>81475.8299164958</v>
      </c>
      <c r="E21" s="5" t="n">
        <v>95199.76021702324</v>
      </c>
      <c r="F21" s="5" t="n">
        <v>82633.38582389914</v>
      </c>
      <c r="G21" s="5" t="n">
        <v>91350.35856930073</v>
      </c>
      <c r="H21" s="5" t="n">
        <v>104835.0499923329</v>
      </c>
      <c r="I21" s="5" t="n">
        <v>97062.45050054746</v>
      </c>
      <c r="J21" s="5" t="n">
        <v>104800.3242258272</v>
      </c>
      <c r="K21" s="5" t="n">
        <v>114498.8080076142</v>
      </c>
      <c r="L21" s="5" t="n">
        <v>96835.09736182811</v>
      </c>
      <c r="M21" s="5" t="n">
        <v>98485.7115214697</v>
      </c>
      <c r="N21" s="5" t="n">
        <v>115234.8868184699</v>
      </c>
      <c r="O21" s="5" t="n">
        <v>116101.9862657858</v>
      </c>
      <c r="P21" s="5" t="n">
        <v>112962.6211542582</v>
      </c>
      <c r="Q21" s="5" t="n">
        <v>129830.7717200594</v>
      </c>
      <c r="R21" s="5" t="n">
        <v>111816.3613568853</v>
      </c>
      <c r="S21" s="5" t="n">
        <v>119338.6843654566</v>
      </c>
    </row>
    <row r="22">
      <c r="A22" t="inlineStr">
        <is>
          <t>Marketing programmes</t>
        </is>
      </c>
      <c r="B22" s="5" t="n">
        <v>452760.0000000001</v>
      </c>
      <c r="C22" s="5" t="n">
        <v>452760.0000000001</v>
      </c>
      <c r="D22" s="5" t="n">
        <v>438900</v>
      </c>
      <c r="E22" s="5" t="n">
        <v>535920</v>
      </c>
      <c r="F22" s="5" t="n">
        <v>408870</v>
      </c>
      <c r="G22" s="5" t="n">
        <v>453530.0000000001</v>
      </c>
      <c r="H22" s="5" t="n">
        <v>542080.0000000001</v>
      </c>
      <c r="I22" s="5" t="n">
        <v>482790</v>
      </c>
      <c r="J22" s="5" t="n">
        <v>531300</v>
      </c>
      <c r="K22" s="5" t="n">
        <v>592900</v>
      </c>
      <c r="L22" s="5" t="n">
        <v>464695.0000000001</v>
      </c>
      <c r="M22" s="5" t="n">
        <v>471240.0000000001</v>
      </c>
      <c r="N22" s="5" t="n">
        <v>582120.0000000001</v>
      </c>
      <c r="O22" s="5" t="n">
        <v>582120.0000000001</v>
      </c>
      <c r="P22" s="5" t="n">
        <v>554400</v>
      </c>
      <c r="Q22" s="5" t="n">
        <v>665280</v>
      </c>
      <c r="R22" s="5" t="n">
        <v>498960</v>
      </c>
      <c r="S22" s="5" t="n">
        <v>526680</v>
      </c>
    </row>
    <row r="23">
      <c r="A23" t="inlineStr">
        <is>
          <t>Sales and marketing total</t>
        </is>
      </c>
      <c r="B23" s="6">
        <f>B19+B20+B21+B22</f>
        <v/>
      </c>
      <c r="C23" s="6">
        <f>C19+C20+C21+C22</f>
        <v/>
      </c>
      <c r="D23" s="6">
        <f>D19+D20+D21+D22</f>
        <v/>
      </c>
      <c r="E23" s="6">
        <f>E19+E20+E21+E22</f>
        <v/>
      </c>
      <c r="F23" s="6">
        <f>F19+F20+F21+F22</f>
        <v/>
      </c>
      <c r="G23" s="6">
        <f>G19+G20+G21+G22</f>
        <v/>
      </c>
      <c r="H23" s="6">
        <f>H19+H20+H21+H22</f>
        <v/>
      </c>
      <c r="I23" s="6">
        <f>I19+I20+I21+I22</f>
        <v/>
      </c>
      <c r="J23" s="6">
        <f>J19+J20+J21+J22</f>
        <v/>
      </c>
      <c r="K23" s="6">
        <f>K19+K20+K21+K22</f>
        <v/>
      </c>
      <c r="L23" s="6">
        <f>L19+L20+L21+L22</f>
        <v/>
      </c>
      <c r="M23" s="6">
        <f>M19+M20+M21+M22</f>
        <v/>
      </c>
      <c r="N23" s="6">
        <f>N19+N20+N21+N22</f>
        <v/>
      </c>
      <c r="O23" s="6">
        <f>O19+O20+O21+O22</f>
        <v/>
      </c>
      <c r="P23" s="6">
        <f>P19+P20+P21+P22</f>
        <v/>
      </c>
      <c r="Q23" s="6">
        <f>Q19+Q20+Q21+Q22</f>
        <v/>
      </c>
      <c r="R23" s="6">
        <f>R19+R20+R21+R22</f>
        <v/>
      </c>
      <c r="S23" s="6">
        <f>S19+S20+S21+S22</f>
        <v/>
      </c>
    </row>
    <row r="24">
      <c r="A24" t="inlineStr">
        <is>
          <t>G&amp;A payroll</t>
        </is>
      </c>
      <c r="B24" s="5" t="n">
        <v>247823.6641526933</v>
      </c>
      <c r="C24" s="5" t="n">
        <v>247823.6641526933</v>
      </c>
      <c r="D24" s="5" t="n">
        <v>247823.6641526933</v>
      </c>
      <c r="E24" s="5" t="n">
        <v>247823.6641526933</v>
      </c>
      <c r="F24" s="5" t="n">
        <v>265749.6723980375</v>
      </c>
      <c r="G24" s="5" t="n">
        <v>265749.6723980375</v>
      </c>
      <c r="H24" s="5" t="n">
        <v>265749.6723980375</v>
      </c>
      <c r="I24" s="5" t="n">
        <v>265749.6723980375</v>
      </c>
      <c r="J24" s="5" t="n">
        <v>265749.6723980375</v>
      </c>
      <c r="K24" s="5" t="n">
        <v>265749.6723980375</v>
      </c>
      <c r="L24" s="5" t="n">
        <v>265749.6723980375</v>
      </c>
      <c r="M24" s="5" t="n">
        <v>265749.6723980375</v>
      </c>
      <c r="N24" s="5" t="n">
        <v>265749.6723980375</v>
      </c>
      <c r="O24" s="5" t="n">
        <v>265749.6723980375</v>
      </c>
      <c r="P24" s="5" t="n">
        <v>265749.6723980375</v>
      </c>
      <c r="Q24" s="5" t="n">
        <v>265749.6723980375</v>
      </c>
      <c r="R24" s="5" t="n">
        <v>275050.9109319688</v>
      </c>
      <c r="S24" s="5" t="n">
        <v>275050.9109319688</v>
      </c>
    </row>
    <row r="25">
      <c r="A25" t="inlineStr">
        <is>
          <t>G&amp;A recruiting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13500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</row>
    <row r="26">
      <c r="A26" t="inlineStr">
        <is>
          <t>Rent</t>
        </is>
      </c>
      <c r="B26" s="5" t="n">
        <v>68600</v>
      </c>
      <c r="C26" s="5" t="n">
        <v>69972</v>
      </c>
      <c r="D26" s="5" t="n">
        <v>72030</v>
      </c>
      <c r="E26" s="5" t="n">
        <v>72030</v>
      </c>
      <c r="F26" s="5" t="n">
        <v>76048</v>
      </c>
      <c r="G26" s="5" t="n">
        <v>77126</v>
      </c>
      <c r="H26" s="5" t="n">
        <v>78008</v>
      </c>
      <c r="I26" s="5" t="n">
        <v>78498</v>
      </c>
      <c r="J26" s="5" t="n">
        <v>79674</v>
      </c>
      <c r="K26" s="5" t="n">
        <v>79674</v>
      </c>
      <c r="L26" s="5" t="n">
        <v>80164</v>
      </c>
      <c r="M26" s="5" t="n">
        <v>80164</v>
      </c>
      <c r="N26" s="5" t="n">
        <v>80164</v>
      </c>
      <c r="O26" s="5" t="n">
        <v>80654</v>
      </c>
      <c r="P26" s="5" t="n">
        <v>80654</v>
      </c>
      <c r="Q26" s="5" t="n">
        <v>80654</v>
      </c>
      <c r="R26" s="5" t="n">
        <v>81144</v>
      </c>
      <c r="S26" s="5" t="n">
        <v>81144</v>
      </c>
    </row>
    <row r="27">
      <c r="A27" t="inlineStr">
        <is>
          <t>Software seats</t>
        </is>
      </c>
      <c r="B27" s="5" t="n">
        <v>25048.8</v>
      </c>
      <c r="C27" s="5" t="n">
        <v>25578</v>
      </c>
      <c r="D27" s="5" t="n">
        <v>26283.6</v>
      </c>
      <c r="E27" s="5" t="n">
        <v>26283.6</v>
      </c>
      <c r="F27" s="5" t="n">
        <v>27694.8</v>
      </c>
      <c r="G27" s="5" t="n">
        <v>28047.6</v>
      </c>
      <c r="H27" s="5" t="n">
        <v>28400.4</v>
      </c>
      <c r="I27" s="5" t="n">
        <v>28576.8</v>
      </c>
      <c r="J27" s="5" t="n">
        <v>28929.6</v>
      </c>
      <c r="K27" s="5" t="n">
        <v>28929.6</v>
      </c>
      <c r="L27" s="5" t="n">
        <v>29106</v>
      </c>
      <c r="M27" s="5" t="n">
        <v>29106</v>
      </c>
      <c r="N27" s="5" t="n">
        <v>29106</v>
      </c>
      <c r="O27" s="5" t="n">
        <v>29282.4</v>
      </c>
      <c r="P27" s="5" t="n">
        <v>29282.4</v>
      </c>
      <c r="Q27" s="5" t="n">
        <v>29282.4</v>
      </c>
      <c r="R27" s="5" t="n">
        <v>29458.8</v>
      </c>
      <c r="S27" s="5" t="n">
        <v>29458.8</v>
      </c>
    </row>
    <row r="28">
      <c r="A28" t="inlineStr">
        <is>
          <t>Fixed G&amp;A</t>
        </is>
      </c>
      <c r="B28" s="5" t="n">
        <v>75000</v>
      </c>
      <c r="C28" s="5" t="n">
        <v>75000</v>
      </c>
      <c r="D28" s="5" t="n">
        <v>75000</v>
      </c>
      <c r="E28" s="5" t="n">
        <v>75000</v>
      </c>
      <c r="F28" s="5" t="n">
        <v>75000</v>
      </c>
      <c r="G28" s="5" t="n">
        <v>75000</v>
      </c>
      <c r="H28" s="5" t="n">
        <v>75000</v>
      </c>
      <c r="I28" s="5" t="n">
        <v>75000</v>
      </c>
      <c r="J28" s="5" t="n">
        <v>75000</v>
      </c>
      <c r="K28" s="5" t="n">
        <v>75000</v>
      </c>
      <c r="L28" s="5" t="n">
        <v>75000</v>
      </c>
      <c r="M28" s="5" t="n">
        <v>75000</v>
      </c>
      <c r="N28" s="5" t="n">
        <v>75000</v>
      </c>
      <c r="O28" s="5" t="n">
        <v>75000</v>
      </c>
      <c r="P28" s="5" t="n">
        <v>75000</v>
      </c>
      <c r="Q28" s="5" t="n">
        <v>75000</v>
      </c>
      <c r="R28" s="5" t="n">
        <v>75000</v>
      </c>
      <c r="S28" s="5" t="n">
        <v>75000</v>
      </c>
    </row>
    <row r="29">
      <c r="A29" t="inlineStr">
        <is>
          <t>G&amp;A total</t>
        </is>
      </c>
      <c r="B29" s="6">
        <f>B24+B25+B26+B27+B28</f>
        <v/>
      </c>
      <c r="C29" s="6">
        <f>C24+C25+C26+C27+C28</f>
        <v/>
      </c>
      <c r="D29" s="6">
        <f>D24+D25+D26+D27+D28</f>
        <v/>
      </c>
      <c r="E29" s="6">
        <f>E24+E25+E26+E27+E28</f>
        <v/>
      </c>
      <c r="F29" s="6">
        <f>F24+F25+F26+F27+F28</f>
        <v/>
      </c>
      <c r="G29" s="6">
        <f>G24+G25+G26+G27+G28</f>
        <v/>
      </c>
      <c r="H29" s="6">
        <f>H24+H25+H26+H27+H28</f>
        <v/>
      </c>
      <c r="I29" s="6">
        <f>I24+I25+I26+I27+I28</f>
        <v/>
      </c>
      <c r="J29" s="6">
        <f>J24+J25+J26+J27+J28</f>
        <v/>
      </c>
      <c r="K29" s="6">
        <f>K24+K25+K26+K27+K28</f>
        <v/>
      </c>
      <c r="L29" s="6">
        <f>L24+L25+L26+L27+L28</f>
        <v/>
      </c>
      <c r="M29" s="6">
        <f>M24+M25+M26+M27+M28</f>
        <v/>
      </c>
      <c r="N29" s="6">
        <f>N24+N25+N26+N27+N28</f>
        <v/>
      </c>
      <c r="O29" s="6">
        <f>O24+O25+O26+O27+O28</f>
        <v/>
      </c>
      <c r="P29" s="6">
        <f>P24+P25+P26+P27+P28</f>
        <v/>
      </c>
      <c r="Q29" s="6">
        <f>Q24+Q25+Q26+Q27+Q28</f>
        <v/>
      </c>
      <c r="R29" s="6">
        <f>R24+R25+R26+R27+R28</f>
        <v/>
      </c>
      <c r="S29" s="6">
        <f>S24+S25+S26+S27+S28</f>
        <v/>
      </c>
    </row>
    <row r="30">
      <c r="A30" t="inlineStr">
        <is>
          <t>Operating expenses</t>
        </is>
      </c>
      <c r="B30" s="6">
        <f>B18+B23+B29</f>
        <v/>
      </c>
      <c r="C30" s="6">
        <f>C18+C23+C29</f>
        <v/>
      </c>
      <c r="D30" s="6">
        <f>D18+D23+D29</f>
        <v/>
      </c>
      <c r="E30" s="6">
        <f>E18+E23+E29</f>
        <v/>
      </c>
      <c r="F30" s="6">
        <f>F18+F23+F29</f>
        <v/>
      </c>
      <c r="G30" s="6">
        <f>G18+G23+G29</f>
        <v/>
      </c>
      <c r="H30" s="6">
        <f>H18+H23+H29</f>
        <v/>
      </c>
      <c r="I30" s="6">
        <f>I18+I23+I29</f>
        <v/>
      </c>
      <c r="J30" s="6">
        <f>J18+J23+J29</f>
        <v/>
      </c>
      <c r="K30" s="6">
        <f>K18+K23+K29</f>
        <v/>
      </c>
      <c r="L30" s="6">
        <f>L18+L23+L29</f>
        <v/>
      </c>
      <c r="M30" s="6">
        <f>M18+M23+M29</f>
        <v/>
      </c>
      <c r="N30" s="6">
        <f>N18+N23+N29</f>
        <v/>
      </c>
      <c r="O30" s="6">
        <f>O18+O23+O29</f>
        <v/>
      </c>
      <c r="P30" s="6">
        <f>P18+P23+P29</f>
        <v/>
      </c>
      <c r="Q30" s="6">
        <f>Q18+Q23+Q29</f>
        <v/>
      </c>
      <c r="R30" s="6">
        <f>R18+R23+R29</f>
        <v/>
      </c>
      <c r="S30" s="6">
        <f>S18+S23+S29</f>
        <v/>
      </c>
    </row>
    <row r="31">
      <c r="A31" t="inlineStr">
        <is>
          <t>EBITDA</t>
        </is>
      </c>
      <c r="B31" s="6">
        <f>B12-B30</f>
        <v/>
      </c>
      <c r="C31" s="6">
        <f>C12-C30</f>
        <v/>
      </c>
      <c r="D31" s="6">
        <f>D12-D30</f>
        <v/>
      </c>
      <c r="E31" s="6">
        <f>E12-E30</f>
        <v/>
      </c>
      <c r="F31" s="6">
        <f>F12-F30</f>
        <v/>
      </c>
      <c r="G31" s="6">
        <f>G12-G30</f>
        <v/>
      </c>
      <c r="H31" s="6">
        <f>H12-H30</f>
        <v/>
      </c>
      <c r="I31" s="6">
        <f>I12-I30</f>
        <v/>
      </c>
      <c r="J31" s="6">
        <f>J12-J30</f>
        <v/>
      </c>
      <c r="K31" s="6">
        <f>K12-K30</f>
        <v/>
      </c>
      <c r="L31" s="6">
        <f>L12-L30</f>
        <v/>
      </c>
      <c r="M31" s="6">
        <f>M12-M30</f>
        <v/>
      </c>
      <c r="N31" s="6">
        <f>N12-N30</f>
        <v/>
      </c>
      <c r="O31" s="6">
        <f>O12-O30</f>
        <v/>
      </c>
      <c r="P31" s="6">
        <f>P12-P30</f>
        <v/>
      </c>
      <c r="Q31" s="6">
        <f>Q12-Q30</f>
        <v/>
      </c>
      <c r="R31" s="6">
        <f>R12-R30</f>
        <v/>
      </c>
      <c r="S31" s="6">
        <f>S12-S30</f>
        <v/>
      </c>
    </row>
    <row r="32">
      <c r="A32" t="inlineStr">
        <is>
          <t>EBITDA margin</t>
        </is>
      </c>
      <c r="B32" s="7">
        <f>IF(B5=0,0,B31/B5)</f>
        <v/>
      </c>
      <c r="C32" s="7">
        <f>IF(C5=0,0,C31/C5)</f>
        <v/>
      </c>
      <c r="D32" s="7">
        <f>IF(D5=0,0,D31/D5)</f>
        <v/>
      </c>
      <c r="E32" s="7">
        <f>IF(E5=0,0,E31/E5)</f>
        <v/>
      </c>
      <c r="F32" s="7">
        <f>IF(F5=0,0,F31/F5)</f>
        <v/>
      </c>
      <c r="G32" s="7">
        <f>IF(G5=0,0,G31/G5)</f>
        <v/>
      </c>
      <c r="H32" s="7">
        <f>IF(H5=0,0,H31/H5)</f>
        <v/>
      </c>
      <c r="I32" s="7">
        <f>IF(I5=0,0,I31/I5)</f>
        <v/>
      </c>
      <c r="J32" s="7">
        <f>IF(J5=0,0,J31/J5)</f>
        <v/>
      </c>
      <c r="K32" s="7">
        <f>IF(K5=0,0,K31/K5)</f>
        <v/>
      </c>
      <c r="L32" s="7">
        <f>IF(L5=0,0,L31/L5)</f>
        <v/>
      </c>
      <c r="M32" s="7">
        <f>IF(M5=0,0,M31/M5)</f>
        <v/>
      </c>
      <c r="N32" s="7">
        <f>IF(N5=0,0,N31/N5)</f>
        <v/>
      </c>
      <c r="O32" s="7">
        <f>IF(O5=0,0,O31/O5)</f>
        <v/>
      </c>
      <c r="P32" s="7">
        <f>IF(P5=0,0,P31/P5)</f>
        <v/>
      </c>
      <c r="Q32" s="7">
        <f>IF(Q5=0,0,Q31/Q5)</f>
        <v/>
      </c>
      <c r="R32" s="7">
        <f>IF(R5=0,0,R31/R5)</f>
        <v/>
      </c>
      <c r="S32" s="7">
        <f>IF(S5=0,0,S31/S5)</f>
        <v/>
      </c>
    </row>
    <row r="33">
      <c r="A33" t="inlineStr">
        <is>
          <t>FTE total</t>
        </is>
      </c>
      <c r="B33" s="8" t="n">
        <v>139.16</v>
      </c>
      <c r="C33" s="8" t="n">
        <v>142.1</v>
      </c>
      <c r="D33" s="8" t="n">
        <v>146.02</v>
      </c>
      <c r="E33" s="8" t="n">
        <v>146.02</v>
      </c>
      <c r="F33" s="8" t="n">
        <v>153.86</v>
      </c>
      <c r="G33" s="8" t="n">
        <v>155.82</v>
      </c>
      <c r="H33" s="8" t="n">
        <v>157.78</v>
      </c>
      <c r="I33" s="8" t="n">
        <v>158.76</v>
      </c>
      <c r="J33" s="8" t="n">
        <v>160.72</v>
      </c>
      <c r="K33" s="8" t="n">
        <v>160.72</v>
      </c>
      <c r="L33" s="8" t="n">
        <v>161.7</v>
      </c>
      <c r="M33" s="8" t="n">
        <v>161.7</v>
      </c>
      <c r="N33" s="8" t="n">
        <v>161.7</v>
      </c>
      <c r="O33" s="8" t="n">
        <v>162.68</v>
      </c>
      <c r="P33" s="8" t="n">
        <v>162.68</v>
      </c>
      <c r="Q33" s="8" t="n">
        <v>162.68</v>
      </c>
      <c r="R33" s="8" t="n">
        <v>163.66</v>
      </c>
      <c r="S33" s="8" t="n">
        <v>163.66</v>
      </c>
    </row>
    <row r="34">
      <c r="A34" t="inlineStr">
        <is>
          <t>FTE customer operations</t>
        </is>
      </c>
      <c r="B34" s="8" t="n">
        <v>26.46</v>
      </c>
      <c r="C34" s="8" t="n">
        <v>26.46</v>
      </c>
      <c r="D34" s="8" t="n">
        <v>26.46</v>
      </c>
      <c r="E34" s="8" t="n">
        <v>26.46</v>
      </c>
      <c r="F34" s="8" t="n">
        <v>26.46</v>
      </c>
      <c r="G34" s="8" t="n">
        <v>26.46</v>
      </c>
      <c r="H34" s="8" t="n">
        <v>26.46</v>
      </c>
      <c r="I34" s="8" t="n">
        <v>26.46</v>
      </c>
      <c r="J34" s="8" t="n">
        <v>26.46</v>
      </c>
      <c r="K34" s="8" t="n">
        <v>26.46</v>
      </c>
      <c r="L34" s="8" t="n">
        <v>27.44</v>
      </c>
      <c r="M34" s="8" t="n">
        <v>27.44</v>
      </c>
      <c r="N34" s="8" t="n">
        <v>27.44</v>
      </c>
      <c r="O34" s="8" t="n">
        <v>28.42</v>
      </c>
      <c r="P34" s="8" t="n">
        <v>28.42</v>
      </c>
      <c r="Q34" s="8" t="n">
        <v>28.42</v>
      </c>
      <c r="R34" s="8" t="n">
        <v>29.4</v>
      </c>
      <c r="S34" s="8" t="n">
        <v>29.4</v>
      </c>
    </row>
    <row r="35">
      <c r="A35" t="inlineStr">
        <is>
          <t>FTE R&amp;D</t>
        </is>
      </c>
      <c r="B35" s="8" t="n">
        <v>70.56</v>
      </c>
      <c r="C35" s="8" t="n">
        <v>72.52</v>
      </c>
      <c r="D35" s="8" t="n">
        <v>76.44</v>
      </c>
      <c r="E35" s="8" t="n">
        <v>76.44</v>
      </c>
      <c r="F35" s="8" t="n">
        <v>79.38</v>
      </c>
      <c r="G35" s="8" t="n">
        <v>80.36</v>
      </c>
      <c r="H35" s="8" t="n">
        <v>82.31999999999999</v>
      </c>
      <c r="I35" s="8" t="n">
        <v>82.31999999999999</v>
      </c>
      <c r="J35" s="8" t="n">
        <v>84.28</v>
      </c>
      <c r="K35" s="8" t="n">
        <v>84.28</v>
      </c>
      <c r="L35" s="8" t="n">
        <v>84.28</v>
      </c>
      <c r="M35" s="8" t="n">
        <v>84.28</v>
      </c>
      <c r="N35" s="8" t="n">
        <v>84.28</v>
      </c>
      <c r="O35" s="8" t="n">
        <v>84.28</v>
      </c>
      <c r="P35" s="8" t="n">
        <v>84.28</v>
      </c>
      <c r="Q35" s="8" t="n">
        <v>84.28</v>
      </c>
      <c r="R35" s="8" t="n">
        <v>84.28</v>
      </c>
      <c r="S35" s="8" t="n">
        <v>84.28</v>
      </c>
    </row>
    <row r="36">
      <c r="A36" t="inlineStr">
        <is>
          <t>FTE sales and marketing</t>
        </is>
      </c>
      <c r="B36" s="8" t="n">
        <v>27.44</v>
      </c>
      <c r="C36" s="8" t="n">
        <v>28.42</v>
      </c>
      <c r="D36" s="8" t="n">
        <v>28.42</v>
      </c>
      <c r="E36" s="8" t="n">
        <v>28.42</v>
      </c>
      <c r="F36" s="8" t="n">
        <v>32.34</v>
      </c>
      <c r="G36" s="8" t="n">
        <v>33.32</v>
      </c>
      <c r="H36" s="8" t="n">
        <v>33.32</v>
      </c>
      <c r="I36" s="8" t="n">
        <v>34.3</v>
      </c>
      <c r="J36" s="8" t="n">
        <v>34.3</v>
      </c>
      <c r="K36" s="8" t="n">
        <v>34.3</v>
      </c>
      <c r="L36" s="8" t="n">
        <v>34.3</v>
      </c>
      <c r="M36" s="8" t="n">
        <v>34.3</v>
      </c>
      <c r="N36" s="8" t="n">
        <v>34.3</v>
      </c>
      <c r="O36" s="8" t="n">
        <v>34.3</v>
      </c>
      <c r="P36" s="8" t="n">
        <v>34.3</v>
      </c>
      <c r="Q36" s="8" t="n">
        <v>34.3</v>
      </c>
      <c r="R36" s="8" t="n">
        <v>34.3</v>
      </c>
      <c r="S36" s="8" t="n">
        <v>34.3</v>
      </c>
    </row>
    <row r="37">
      <c r="A37" t="inlineStr">
        <is>
          <t>FTE G&amp;A</t>
        </is>
      </c>
      <c r="B37" s="8" t="n">
        <v>14.7</v>
      </c>
      <c r="C37" s="8" t="n">
        <v>14.7</v>
      </c>
      <c r="D37" s="8" t="n">
        <v>14.7</v>
      </c>
      <c r="E37" s="8" t="n">
        <v>14.7</v>
      </c>
      <c r="F37" s="8" t="n">
        <v>15.68</v>
      </c>
      <c r="G37" s="8" t="n">
        <v>15.68</v>
      </c>
      <c r="H37" s="8" t="n">
        <v>15.68</v>
      </c>
      <c r="I37" s="8" t="n">
        <v>15.68</v>
      </c>
      <c r="J37" s="8" t="n">
        <v>15.68</v>
      </c>
      <c r="K37" s="8" t="n">
        <v>15.68</v>
      </c>
      <c r="L37" s="8" t="n">
        <v>15.68</v>
      </c>
      <c r="M37" s="8" t="n">
        <v>15.68</v>
      </c>
      <c r="N37" s="8" t="n">
        <v>15.68</v>
      </c>
      <c r="O37" s="8" t="n">
        <v>15.68</v>
      </c>
      <c r="P37" s="8" t="n">
        <v>15.68</v>
      </c>
      <c r="Q37" s="8" t="n">
        <v>15.68</v>
      </c>
      <c r="R37" s="8" t="n">
        <v>15.68</v>
      </c>
      <c r="S37" s="8" t="n">
        <v>15.68</v>
      </c>
    </row>
    <row r="38">
      <c r="A38" t="inlineStr">
        <is>
          <t>Total ARR (closing)</t>
        </is>
      </c>
      <c r="B38" s="5" t="n">
        <v>25068817.90951262</v>
      </c>
      <c r="C38" s="5" t="n">
        <v>25894277.64618835</v>
      </c>
      <c r="D38" s="5" t="n">
        <v>26707779.66037555</v>
      </c>
      <c r="E38" s="5" t="n">
        <v>27676963.80636581</v>
      </c>
      <c r="F38" s="5" t="n">
        <v>30254600.22968887</v>
      </c>
      <c r="G38" s="5" t="n">
        <v>31165669.19328347</v>
      </c>
      <c r="H38" s="5" t="n">
        <v>32231007.42709925</v>
      </c>
      <c r="I38" s="5" t="n">
        <v>33226564.18594147</v>
      </c>
      <c r="J38" s="5" t="n">
        <v>34314081.89915907</v>
      </c>
      <c r="K38" s="5" t="n">
        <v>35517008.44932816</v>
      </c>
      <c r="L38" s="5" t="n">
        <v>36520983.38260399</v>
      </c>
      <c r="M38" s="5" t="n">
        <v>37548376.62311088</v>
      </c>
      <c r="N38" s="5" t="n">
        <v>38775782.5066337</v>
      </c>
      <c r="O38" s="5" t="n">
        <v>40018842.9232801</v>
      </c>
      <c r="P38" s="5" t="n">
        <v>41230547.70272108</v>
      </c>
      <c r="Q38" s="5" t="n">
        <v>42648669.02913334</v>
      </c>
      <c r="R38" s="5" t="n">
        <v>46428110.34752326</v>
      </c>
      <c r="S38" s="5" t="n">
        <v>47700305.93642757</v>
      </c>
    </row>
    <row r="39">
      <c r="A39" s="2" t="inlineStr">
        <is>
          <t>Shaded yellow: values from the model. Shaded blue: Excel formulas.</t>
        </is>
      </c>
    </row>
    <row r="41">
      <c r="A41" s="1" t="inlineStr">
        <is>
          <t>Plan upside: ARR roll-forward</t>
        </is>
      </c>
    </row>
    <row r="42">
      <c r="A42" s="2" t="inlineStr">
        <is>
          <t>USD, monthly</t>
        </is>
      </c>
      <c r="B42" s="4" t="inlineStr">
        <is>
          <t>2026-09</t>
        </is>
      </c>
      <c r="C42" s="4" t="inlineStr">
        <is>
          <t>2026-10</t>
        </is>
      </c>
      <c r="D42" s="4" t="inlineStr">
        <is>
          <t>2026-11</t>
        </is>
      </c>
      <c r="E42" s="4" t="inlineStr">
        <is>
          <t>2026-12</t>
        </is>
      </c>
      <c r="F42" s="4" t="inlineStr">
        <is>
          <t>2027-01</t>
        </is>
      </c>
      <c r="G42" s="4" t="inlineStr">
        <is>
          <t>2027-02</t>
        </is>
      </c>
      <c r="H42" s="4" t="inlineStr">
        <is>
          <t>2027-03</t>
        </is>
      </c>
      <c r="I42" s="4" t="inlineStr">
        <is>
          <t>2027-04</t>
        </is>
      </c>
      <c r="J42" s="4" t="inlineStr">
        <is>
          <t>2027-05</t>
        </is>
      </c>
      <c r="K42" s="4" t="inlineStr">
        <is>
          <t>2027-06</t>
        </is>
      </c>
      <c r="L42" s="4" t="inlineStr">
        <is>
          <t>2027-07</t>
        </is>
      </c>
      <c r="M42" s="4" t="inlineStr">
        <is>
          <t>2027-08</t>
        </is>
      </c>
      <c r="N42" s="4" t="inlineStr">
        <is>
          <t>2027-09</t>
        </is>
      </c>
      <c r="O42" s="4" t="inlineStr">
        <is>
          <t>2027-10</t>
        </is>
      </c>
      <c r="P42" s="4" t="inlineStr">
        <is>
          <t>2027-11</t>
        </is>
      </c>
      <c r="Q42" s="4" t="inlineStr">
        <is>
          <t>2027-12</t>
        </is>
      </c>
      <c r="R42" s="4" t="inlineStr">
        <is>
          <t>2028-01</t>
        </is>
      </c>
      <c r="S42" s="4" t="inlineStr">
        <is>
          <t>2028-02</t>
        </is>
      </c>
    </row>
    <row r="43">
      <c r="A43" t="inlineStr">
        <is>
          <t>Opening Platform ARR</t>
        </is>
      </c>
      <c r="B43" s="5" t="n">
        <v>22261073.29549041</v>
      </c>
      <c r="C43" s="5" t="n">
        <v>22927880.24765811</v>
      </c>
      <c r="D43" s="5" t="n">
        <v>23596331.72565591</v>
      </c>
      <c r="E43" s="5" t="n">
        <v>24247699.99532815</v>
      </c>
      <c r="F43" s="5" t="n">
        <v>25031797.24487451</v>
      </c>
      <c r="G43" s="5" t="n">
        <v>27437027.1682572</v>
      </c>
      <c r="H43" s="5" t="n">
        <v>28160546.27965415</v>
      </c>
      <c r="I43" s="5" t="n">
        <v>29013902.38211522</v>
      </c>
      <c r="J43" s="5" t="n">
        <v>29783623.5254868</v>
      </c>
      <c r="K43" s="5" t="n">
        <v>30625393.56239738</v>
      </c>
      <c r="L43" s="5" t="n">
        <v>31558319.69930523</v>
      </c>
      <c r="M43" s="5" t="n">
        <v>32308148.79221932</v>
      </c>
      <c r="N43" s="5" t="n">
        <v>33069291.92318466</v>
      </c>
      <c r="O43" s="5" t="n">
        <v>33992656.3608463</v>
      </c>
      <c r="P43" s="5" t="n">
        <v>34918298.06430936</v>
      </c>
      <c r="Q43" s="5" t="n">
        <v>35806136.61932566</v>
      </c>
      <c r="R43" s="5" t="n">
        <v>36856508.94613288</v>
      </c>
      <c r="S43" s="5" t="n">
        <v>40299419.61564466</v>
      </c>
    </row>
    <row r="44">
      <c r="A44" t="inlineStr">
        <is>
          <t>New ARR</t>
        </is>
      </c>
      <c r="B44" s="5" t="n">
        <v>611905.1400000001</v>
      </c>
      <c r="C44" s="5" t="n">
        <v>611905.1400000001</v>
      </c>
      <c r="D44" s="5" t="n">
        <v>593173.3500000001</v>
      </c>
      <c r="E44" s="5" t="n">
        <v>724295.8800000001</v>
      </c>
      <c r="F44" s="5" t="n">
        <v>591268.9513500002</v>
      </c>
      <c r="G44" s="5" t="n">
        <v>655852.0006500002</v>
      </c>
      <c r="H44" s="5" t="n">
        <v>783904.5984000002</v>
      </c>
      <c r="I44" s="5" t="n">
        <v>698165.0329500001</v>
      </c>
      <c r="J44" s="5" t="n">
        <v>768315.5865000002</v>
      </c>
      <c r="K44" s="5" t="n">
        <v>857395.6545000002</v>
      </c>
      <c r="L44" s="5" t="n">
        <v>671997.7629750002</v>
      </c>
      <c r="M44" s="5" t="n">
        <v>681462.5202000003</v>
      </c>
      <c r="N44" s="5" t="n">
        <v>841806.6426000003</v>
      </c>
      <c r="O44" s="5" t="n">
        <v>841806.6426000003</v>
      </c>
      <c r="P44" s="5" t="n">
        <v>801720.6120000002</v>
      </c>
      <c r="Q44" s="5" t="n">
        <v>962064.7344000003</v>
      </c>
      <c r="R44" s="5" t="n">
        <v>772056.9493560002</v>
      </c>
      <c r="S44" s="5" t="n">
        <v>814949.0020980001</v>
      </c>
    </row>
    <row r="45">
      <c r="A45" t="inlineStr">
        <is>
          <t>Expansion ARR</t>
        </is>
      </c>
      <c r="B45" s="5" t="n">
        <v>209046.0013822987</v>
      </c>
      <c r="C45" s="5" t="n">
        <v>215307.7536884112</v>
      </c>
      <c r="D45" s="5" t="n">
        <v>221584.9491649579</v>
      </c>
      <c r="E45" s="5" t="n">
        <v>227701.7221702322</v>
      </c>
      <c r="F45" s="5" t="n">
        <v>235064.9068889911</v>
      </c>
      <c r="G45" s="5" t="n">
        <v>257651.5850430071</v>
      </c>
      <c r="H45" s="5" t="n">
        <v>264445.901523329</v>
      </c>
      <c r="I45" s="5" t="n">
        <v>272459.4720554744</v>
      </c>
      <c r="J45" s="5" t="n">
        <v>279687.6557582718</v>
      </c>
      <c r="K45" s="5" t="n">
        <v>287592.4255761419</v>
      </c>
      <c r="L45" s="5" t="n">
        <v>296353.2106432809</v>
      </c>
      <c r="M45" s="5" t="n">
        <v>303394.5950146966</v>
      </c>
      <c r="N45" s="5" t="n">
        <v>310542.2255846989</v>
      </c>
      <c r="O45" s="5" t="n">
        <v>319213.2200578577</v>
      </c>
      <c r="P45" s="5" t="n">
        <v>327905.5995425815</v>
      </c>
      <c r="Q45" s="5" t="n">
        <v>336242.9828005933</v>
      </c>
      <c r="R45" s="5" t="n">
        <v>346106.6642128525</v>
      </c>
      <c r="S45" s="5" t="n">
        <v>378437.8415565654</v>
      </c>
    </row>
    <row r="46">
      <c r="A46" t="inlineStr">
        <is>
          <t>Price ARR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1752225.807141216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2579955.626229302</v>
      </c>
      <c r="S46" s="5" t="n">
        <v>0</v>
      </c>
    </row>
    <row r="47">
      <c r="A47" t="inlineStr">
        <is>
          <t>Churned ARR</t>
        </is>
      </c>
      <c r="B47" s="5" t="n">
        <v>-154144.1892145939</v>
      </c>
      <c r="C47" s="5" t="n">
        <v>-158761.4156906132</v>
      </c>
      <c r="D47" s="5" t="n">
        <v>-163390.0294927222</v>
      </c>
      <c r="E47" s="5" t="n">
        <v>-167900.3526238661</v>
      </c>
      <c r="F47" s="5" t="n">
        <v>-173329.7419975224</v>
      </c>
      <c r="G47" s="5" t="n">
        <v>-189984.4742960593</v>
      </c>
      <c r="H47" s="5" t="n">
        <v>-194994.397462259</v>
      </c>
      <c r="I47" s="5" t="n">
        <v>-200903.3616338937</v>
      </c>
      <c r="J47" s="5" t="n">
        <v>-206233.2053476907</v>
      </c>
      <c r="K47" s="5" t="n">
        <v>-212061.9431682973</v>
      </c>
      <c r="L47" s="5" t="n">
        <v>-218521.8807041885</v>
      </c>
      <c r="M47" s="5" t="n">
        <v>-223713.9842493563</v>
      </c>
      <c r="N47" s="5" t="n">
        <v>-228984.4305230621</v>
      </c>
      <c r="O47" s="5" t="n">
        <v>-235378.1591947959</v>
      </c>
      <c r="P47" s="5" t="n">
        <v>-241787.656526285</v>
      </c>
      <c r="Q47" s="5" t="n">
        <v>-247935.3903933743</v>
      </c>
      <c r="R47" s="5" t="n">
        <v>-255208.5702863646</v>
      </c>
      <c r="S47" s="5" t="n">
        <v>-279048.6011171188</v>
      </c>
    </row>
    <row r="48">
      <c r="A48" t="inlineStr">
        <is>
          <t>Closing Platform ARR</t>
        </is>
      </c>
      <c r="B48" s="6">
        <f>B43+B44+B45+B46+B47</f>
        <v/>
      </c>
      <c r="C48" s="6">
        <f>C43+C44+C45+C46+C47</f>
        <v/>
      </c>
      <c r="D48" s="6">
        <f>D43+D44+D45+D46+D47</f>
        <v/>
      </c>
      <c r="E48" s="6">
        <f>E43+E44+E45+E46+E47</f>
        <v/>
      </c>
      <c r="F48" s="6">
        <f>F43+F44+F45+F46+F47</f>
        <v/>
      </c>
      <c r="G48" s="6">
        <f>G43+G44+G45+G46+G47</f>
        <v/>
      </c>
      <c r="H48" s="6">
        <f>H43+H44+H45+H46+H47</f>
        <v/>
      </c>
      <c r="I48" s="6">
        <f>I43+I44+I45+I46+I47</f>
        <v/>
      </c>
      <c r="J48" s="6">
        <f>J43+J44+J45+J46+J47</f>
        <v/>
      </c>
      <c r="K48" s="6">
        <f>K43+K44+K45+K46+K47</f>
        <v/>
      </c>
      <c r="L48" s="6">
        <f>L43+L44+L45+L46+L47</f>
        <v/>
      </c>
      <c r="M48" s="6">
        <f>M43+M44+M45+M46+M47</f>
        <v/>
      </c>
      <c r="N48" s="6">
        <f>N43+N44+N45+N46+N47</f>
        <v/>
      </c>
      <c r="O48" s="6">
        <f>O43+O44+O45+O46+O47</f>
        <v/>
      </c>
      <c r="P48" s="6">
        <f>P43+P44+P45+P46+P47</f>
        <v/>
      </c>
      <c r="Q48" s="6">
        <f>Q43+Q44+Q45+Q46+Q47</f>
        <v/>
      </c>
      <c r="R48" s="6">
        <f>R43+R44+R45+R46+R47</f>
        <v/>
      </c>
      <c r="S48" s="6">
        <f>S43+S44+S45+S46+S47</f>
        <v/>
      </c>
    </row>
    <row r="49">
      <c r="A49" t="inlineStr">
        <is>
          <t>Opening customers</t>
        </is>
      </c>
      <c r="B49" s="8" t="n">
        <v>532.6245130899939</v>
      </c>
      <c r="C49" s="8" t="n">
        <v>545.106417164147</v>
      </c>
      <c r="D49" s="8" t="n">
        <v>557.5018917585611</v>
      </c>
      <c r="E49" s="8" t="n">
        <v>569.316535344024</v>
      </c>
      <c r="F49" s="8" t="n">
        <v>584.5143698166843</v>
      </c>
      <c r="G49" s="8" t="n">
        <v>595.0694686683343</v>
      </c>
      <c r="H49" s="8" t="n">
        <v>607.1464799768559</v>
      </c>
      <c r="I49" s="8" t="n">
        <v>622.302365438071</v>
      </c>
      <c r="J49" s="8" t="n">
        <v>635.2358057492819</v>
      </c>
      <c r="K49" s="8" t="n">
        <v>649.8121899710778</v>
      </c>
      <c r="L49" s="8" t="n">
        <v>666.4876417311848</v>
      </c>
      <c r="M49" s="8" t="n">
        <v>678.4688762828052</v>
      </c>
      <c r="N49" s="8" t="n">
        <v>690.6008981820308</v>
      </c>
      <c r="O49" s="8" t="n">
        <v>706.6089133195712</v>
      </c>
      <c r="P49" s="8" t="n">
        <v>722.5060828351797</v>
      </c>
      <c r="Q49" s="8" t="n">
        <v>737.3031742663551</v>
      </c>
      <c r="R49" s="8" t="n">
        <v>755.9578049746751</v>
      </c>
      <c r="S49" s="8" t="n">
        <v>768.5432638821811</v>
      </c>
    </row>
    <row r="50">
      <c r="A50" t="inlineStr">
        <is>
          <t>New logos</t>
        </is>
      </c>
      <c r="B50" s="8" t="n">
        <v>16.17</v>
      </c>
      <c r="C50" s="8" t="n">
        <v>16.17</v>
      </c>
      <c r="D50" s="8" t="n">
        <v>15.675</v>
      </c>
      <c r="E50" s="8" t="n">
        <v>19.14</v>
      </c>
      <c r="F50" s="8" t="n">
        <v>14.6025</v>
      </c>
      <c r="G50" s="8" t="n">
        <v>16.1975</v>
      </c>
      <c r="H50" s="8" t="n">
        <v>19.36</v>
      </c>
      <c r="I50" s="8" t="n">
        <v>17.2425</v>
      </c>
      <c r="J50" s="8" t="n">
        <v>18.975</v>
      </c>
      <c r="K50" s="8" t="n">
        <v>21.175</v>
      </c>
      <c r="L50" s="8" t="n">
        <v>16.59625</v>
      </c>
      <c r="M50" s="8" t="n">
        <v>16.83</v>
      </c>
      <c r="N50" s="8" t="n">
        <v>20.79</v>
      </c>
      <c r="O50" s="8" t="n">
        <v>20.79</v>
      </c>
      <c r="P50" s="8" t="n">
        <v>19.8</v>
      </c>
      <c r="Q50" s="8" t="n">
        <v>23.76</v>
      </c>
      <c r="R50" s="8" t="n">
        <v>17.82</v>
      </c>
      <c r="S50" s="8" t="n">
        <v>18.81</v>
      </c>
    </row>
    <row r="51">
      <c r="A51" t="inlineStr">
        <is>
          <t>Churned customers</t>
        </is>
      </c>
      <c r="B51" s="8" t="n">
        <v>-3.68809592584679</v>
      </c>
      <c r="C51" s="8" t="n">
        <v>-3.774525405585956</v>
      </c>
      <c r="D51" s="8" t="n">
        <v>-3.860356414537044</v>
      </c>
      <c r="E51" s="8" t="n">
        <v>-3.942165527339772</v>
      </c>
      <c r="F51" s="8" t="n">
        <v>-4.047401148350031</v>
      </c>
      <c r="G51" s="8" t="n">
        <v>-4.120488691478379</v>
      </c>
      <c r="H51" s="8" t="n">
        <v>-4.204114538784882</v>
      </c>
      <c r="I51" s="8" t="n">
        <v>-4.309059688789016</v>
      </c>
      <c r="J51" s="8" t="n">
        <v>-4.398615778204112</v>
      </c>
      <c r="K51" s="8" t="n">
        <v>-4.499548239892933</v>
      </c>
      <c r="L51" s="8" t="n">
        <v>-4.615015448379663</v>
      </c>
      <c r="M51" s="8" t="n">
        <v>-4.697978100774485</v>
      </c>
      <c r="N51" s="8" t="n">
        <v>-4.78198486245963</v>
      </c>
      <c r="O51" s="8" t="n">
        <v>-4.89283048439157</v>
      </c>
      <c r="P51" s="8" t="n">
        <v>-5.002908568824579</v>
      </c>
      <c r="Q51" s="8" t="n">
        <v>-5.105369291679969</v>
      </c>
      <c r="R51" s="8" t="n">
        <v>-5.234541092494001</v>
      </c>
      <c r="S51" s="8" t="n">
        <v>-5.321687625522311</v>
      </c>
    </row>
    <row r="52">
      <c r="A52" t="inlineStr">
        <is>
          <t>Closing customers</t>
        </is>
      </c>
      <c r="B52" s="9">
        <f>B49+B50+B51</f>
        <v/>
      </c>
      <c r="C52" s="9">
        <f>C49+C50+C51</f>
        <v/>
      </c>
      <c r="D52" s="9">
        <f>D49+D50+D51</f>
        <v/>
      </c>
      <c r="E52" s="9">
        <f>E49+E50+E51</f>
        <v/>
      </c>
      <c r="F52" s="9">
        <f>F49+F50+F51</f>
        <v/>
      </c>
      <c r="G52" s="9">
        <f>G49+G50+G51</f>
        <v/>
      </c>
      <c r="H52" s="9">
        <f>H49+H50+H51</f>
        <v/>
      </c>
      <c r="I52" s="9">
        <f>I49+I50+I51</f>
        <v/>
      </c>
      <c r="J52" s="9">
        <f>J49+J50+J51</f>
        <v/>
      </c>
      <c r="K52" s="9">
        <f>K49+K50+K51</f>
        <v/>
      </c>
      <c r="L52" s="9">
        <f>L49+L50+L51</f>
        <v/>
      </c>
      <c r="M52" s="9">
        <f>M49+M50+M51</f>
        <v/>
      </c>
      <c r="N52" s="9">
        <f>N49+N50+N51</f>
        <v/>
      </c>
      <c r="O52" s="9">
        <f>O49+O50+O51</f>
        <v/>
      </c>
      <c r="P52" s="9">
        <f>P49+P50+P51</f>
        <v/>
      </c>
      <c r="Q52" s="9">
        <f>Q49+Q50+Q51</f>
        <v/>
      </c>
      <c r="R52" s="9">
        <f>R49+R50+R51</f>
        <v/>
      </c>
      <c r="S52" s="9">
        <f>S49+S50+S51</f>
        <v/>
      </c>
    </row>
    <row r="53">
      <c r="A53" t="inlineStr">
        <is>
          <t>Insights attach rate</t>
        </is>
      </c>
      <c r="B53" s="10" t="n">
        <v>0.265</v>
      </c>
      <c r="C53" s="10" t="n">
        <v>0.274</v>
      </c>
      <c r="D53" s="10" t="n">
        <v>0.283</v>
      </c>
      <c r="E53" s="10" t="n">
        <v>0.292</v>
      </c>
      <c r="F53" s="10" t="n">
        <v>0.301</v>
      </c>
      <c r="G53" s="10" t="n">
        <v>0.3100000000000001</v>
      </c>
      <c r="H53" s="10" t="n">
        <v>0.3190000000000001</v>
      </c>
      <c r="I53" s="10" t="n">
        <v>0.3295000000000001</v>
      </c>
      <c r="J53" s="10" t="n">
        <v>0.3400000000000001</v>
      </c>
      <c r="K53" s="10" t="n">
        <v>0.3505000000000001</v>
      </c>
      <c r="L53" s="10" t="n">
        <v>0.3610000000000001</v>
      </c>
      <c r="M53" s="10" t="n">
        <v>0.3715000000000001</v>
      </c>
      <c r="N53" s="10" t="n">
        <v>0.3820000000000001</v>
      </c>
      <c r="O53" s="10" t="n">
        <v>0.3925000000000001</v>
      </c>
      <c r="P53" s="10" t="n">
        <v>0.4030000000000001</v>
      </c>
      <c r="Q53" s="10" t="n">
        <v>0.4135000000000001</v>
      </c>
      <c r="R53" s="10" t="n">
        <v>0.4240000000000002</v>
      </c>
      <c r="S53" s="10" t="n">
        <v>0.4345000000000002</v>
      </c>
    </row>
    <row r="54">
      <c r="A54" t="inlineStr">
        <is>
          <t>Insights customers</t>
        </is>
      </c>
      <c r="B54" s="8" t="n">
        <v>144.453200548499</v>
      </c>
      <c r="C54" s="8" t="n">
        <v>152.7555183418457</v>
      </c>
      <c r="D54" s="8" t="n">
        <v>161.1165795023588</v>
      </c>
      <c r="E54" s="8" t="n">
        <v>170.6781959864718</v>
      </c>
      <c r="F54" s="8" t="n">
        <v>179.1159100691686</v>
      </c>
      <c r="G54" s="8" t="n">
        <v>188.2154087928253</v>
      </c>
      <c r="H54" s="8" t="n">
        <v>198.5144545747447</v>
      </c>
      <c r="I54" s="8" t="n">
        <v>209.3101979943884</v>
      </c>
      <c r="J54" s="8" t="n">
        <v>220.9361445901665</v>
      </c>
      <c r="K54" s="8" t="n">
        <v>233.6039184267803</v>
      </c>
      <c r="L54" s="8" t="n">
        <v>244.9272643380928</v>
      </c>
      <c r="M54" s="8" t="n">
        <v>256.5582336746245</v>
      </c>
      <c r="N54" s="8" t="n">
        <v>269.9246048880763</v>
      </c>
      <c r="O54" s="8" t="n">
        <v>283.5836375128081</v>
      </c>
      <c r="P54" s="8" t="n">
        <v>297.1331792293412</v>
      </c>
      <c r="Q54" s="8" t="n">
        <v>312.5885523570283</v>
      </c>
      <c r="R54" s="8" t="n">
        <v>325.8623438860449</v>
      </c>
      <c r="S54" s="8" t="n">
        <v>339.7927198835184</v>
      </c>
    </row>
    <row r="55">
      <c r="A55" t="inlineStr">
        <is>
          <t>Insights ARR per customer</t>
        </is>
      </c>
      <c r="B55" s="5" t="n">
        <v>14820.97768498877</v>
      </c>
      <c r="C55" s="5" t="n">
        <v>15043.2923502636</v>
      </c>
      <c r="D55" s="5" t="n">
        <v>15268.94173551756</v>
      </c>
      <c r="E55" s="5" t="n">
        <v>15497.97586155032</v>
      </c>
      <c r="F55" s="5" t="n">
        <v>15730.44549947357</v>
      </c>
      <c r="G55" s="5" t="n">
        <v>15966.40218196567</v>
      </c>
      <c r="H55" s="5" t="n">
        <v>16205.89821469516</v>
      </c>
      <c r="I55" s="5" t="n">
        <v>16448.98668791559</v>
      </c>
      <c r="J55" s="5" t="n">
        <v>16695.72148823432</v>
      </c>
      <c r="K55" s="5" t="n">
        <v>16946.15731055783</v>
      </c>
      <c r="L55" s="5" t="n">
        <v>17200.3496702162</v>
      </c>
      <c r="M55" s="5" t="n">
        <v>17458.35491526944</v>
      </c>
      <c r="N55" s="5" t="n">
        <v>17720.23023899848</v>
      </c>
      <c r="O55" s="5" t="n">
        <v>17986.03369258345</v>
      </c>
      <c r="P55" s="5" t="n">
        <v>18255.8241979722</v>
      </c>
      <c r="Q55" s="5" t="n">
        <v>18529.66156094178</v>
      </c>
      <c r="R55" s="5" t="n">
        <v>18807.60648435591</v>
      </c>
      <c r="S55" s="5" t="n">
        <v>19089.72058162124</v>
      </c>
    </row>
    <row r="56">
      <c r="A56" t="inlineStr">
        <is>
          <t>Insights ARR</t>
        </is>
      </c>
      <c r="B56" s="5" t="n">
        <v>2140937.661854512</v>
      </c>
      <c r="C56" s="5" t="n">
        <v>2297945.92053244</v>
      </c>
      <c r="D56" s="5" t="n">
        <v>2460079.665047399</v>
      </c>
      <c r="E56" s="5" t="n">
        <v>2645166.561491295</v>
      </c>
      <c r="F56" s="5" t="n">
        <v>2817573.061431667</v>
      </c>
      <c r="G56" s="5" t="n">
        <v>3005122.913629328</v>
      </c>
      <c r="H56" s="5" t="n">
        <v>3217105.044984038</v>
      </c>
      <c r="I56" s="5" t="n">
        <v>3442940.660454671</v>
      </c>
      <c r="J56" s="5" t="n">
        <v>3688688.336761687</v>
      </c>
      <c r="K56" s="5" t="n">
        <v>3958688.750022939</v>
      </c>
      <c r="L56" s="5" t="n">
        <v>4212834.590384669</v>
      </c>
      <c r="M56" s="5" t="n">
        <v>4479084.699926227</v>
      </c>
      <c r="N56" s="5" t="n">
        <v>4783126.145787407</v>
      </c>
      <c r="O56" s="5" t="n">
        <v>5100544.858970739</v>
      </c>
      <c r="P56" s="5" t="n">
        <v>5424411.083395419</v>
      </c>
      <c r="Q56" s="5" t="n">
        <v>5792160.083000464</v>
      </c>
      <c r="R56" s="5" t="n">
        <v>6128690.731878593</v>
      </c>
      <c r="S56" s="5" t="n">
        <v>6486548.078245463</v>
      </c>
    </row>
    <row r="57">
      <c r="A57" t="inlineStr">
        <is>
          <t>Total ARR</t>
        </is>
      </c>
      <c r="B57" s="6">
        <f>B48+B56</f>
        <v/>
      </c>
      <c r="C57" s="6">
        <f>C48+C56</f>
        <v/>
      </c>
      <c r="D57" s="6">
        <f>D48+D56</f>
        <v/>
      </c>
      <c r="E57" s="6">
        <f>E48+E56</f>
        <v/>
      </c>
      <c r="F57" s="6">
        <f>F48+F56</f>
        <v/>
      </c>
      <c r="G57" s="6">
        <f>G48+G56</f>
        <v/>
      </c>
      <c r="H57" s="6">
        <f>H48+H56</f>
        <v/>
      </c>
      <c r="I57" s="6">
        <f>I48+I56</f>
        <v/>
      </c>
      <c r="J57" s="6">
        <f>J48+J56</f>
        <v/>
      </c>
      <c r="K57" s="6">
        <f>K48+K56</f>
        <v/>
      </c>
      <c r="L57" s="6">
        <f>L48+L56</f>
        <v/>
      </c>
      <c r="M57" s="6">
        <f>M48+M56</f>
        <v/>
      </c>
      <c r="N57" s="6">
        <f>N48+N56</f>
        <v/>
      </c>
      <c r="O57" s="6">
        <f>O48+O56</f>
        <v/>
      </c>
      <c r="P57" s="6">
        <f>P48+P56</f>
        <v/>
      </c>
      <c r="Q57" s="6">
        <f>Q48+Q56</f>
        <v/>
      </c>
      <c r="R57" s="6">
        <f>R48+R56</f>
        <v/>
      </c>
      <c r="S57" s="6">
        <f>S48+S56</f>
        <v/>
      </c>
    </row>
    <row r="58">
      <c r="A58" s="2" t="inlineStr">
        <is>
          <t>Shaded yellow: values from the model. Shaded blue: Excel formulas.</t>
        </is>
      </c>
    </row>
    <row r="60">
      <c r="A60" s="1" t="inlineStr">
        <is>
          <t>Plan upside: cloud hosting</t>
        </is>
      </c>
    </row>
    <row r="61">
      <c r="A61" s="2" t="inlineStr">
        <is>
          <t>USD, monthly</t>
        </is>
      </c>
      <c r="B61" s="4" t="inlineStr">
        <is>
          <t>2026-09</t>
        </is>
      </c>
      <c r="C61" s="4" t="inlineStr">
        <is>
          <t>2026-10</t>
        </is>
      </c>
      <c r="D61" s="4" t="inlineStr">
        <is>
          <t>2026-11</t>
        </is>
      </c>
      <c r="E61" s="4" t="inlineStr">
        <is>
          <t>2026-12</t>
        </is>
      </c>
      <c r="F61" s="4" t="inlineStr">
        <is>
          <t>2027-01</t>
        </is>
      </c>
      <c r="G61" s="4" t="inlineStr">
        <is>
          <t>2027-02</t>
        </is>
      </c>
      <c r="H61" s="4" t="inlineStr">
        <is>
          <t>2027-03</t>
        </is>
      </c>
      <c r="I61" s="4" t="inlineStr">
        <is>
          <t>2027-04</t>
        </is>
      </c>
      <c r="J61" s="4" t="inlineStr">
        <is>
          <t>2027-05</t>
        </is>
      </c>
      <c r="K61" s="4" t="inlineStr">
        <is>
          <t>2027-06</t>
        </is>
      </c>
      <c r="L61" s="4" t="inlineStr">
        <is>
          <t>2027-07</t>
        </is>
      </c>
      <c r="M61" s="4" t="inlineStr">
        <is>
          <t>2027-08</t>
        </is>
      </c>
      <c r="N61" s="4" t="inlineStr">
        <is>
          <t>2027-09</t>
        </is>
      </c>
      <c r="O61" s="4" t="inlineStr">
        <is>
          <t>2027-10</t>
        </is>
      </c>
      <c r="P61" s="4" t="inlineStr">
        <is>
          <t>2027-11</t>
        </is>
      </c>
      <c r="Q61" s="4" t="inlineStr">
        <is>
          <t>2027-12</t>
        </is>
      </c>
      <c r="R61" s="4" t="inlineStr">
        <is>
          <t>2028-01</t>
        </is>
      </c>
      <c r="S61" s="4" t="inlineStr">
        <is>
          <t>2028-02</t>
        </is>
      </c>
    </row>
    <row r="62">
      <c r="A62" t="inlineStr">
        <is>
          <t>Platform compute units</t>
        </is>
      </c>
      <c r="B62" s="8" t="n">
        <v>109021.2834328294</v>
      </c>
      <c r="C62" s="8" t="n">
        <v>111500.3783517122</v>
      </c>
      <c r="D62" s="8" t="n">
        <v>113863.3070688048</v>
      </c>
      <c r="E62" s="8" t="n">
        <v>116902.8739633369</v>
      </c>
      <c r="F62" s="8" t="n">
        <v>119013.8937336668</v>
      </c>
      <c r="G62" s="8" t="n">
        <v>121429.2959953712</v>
      </c>
      <c r="H62" s="8" t="n">
        <v>124460.4730876142</v>
      </c>
      <c r="I62" s="8" t="n">
        <v>127047.1611498564</v>
      </c>
      <c r="J62" s="8" t="n">
        <v>129962.4379942156</v>
      </c>
      <c r="K62" s="8" t="n">
        <v>133297.528346237</v>
      </c>
      <c r="L62" s="8" t="n">
        <v>135693.7752565611</v>
      </c>
      <c r="M62" s="8" t="n">
        <v>138120.1796364062</v>
      </c>
      <c r="N62" s="8" t="n">
        <v>141321.7826639143</v>
      </c>
      <c r="O62" s="8" t="n">
        <v>144501.2165670359</v>
      </c>
      <c r="P62" s="8" t="n">
        <v>147460.634853271</v>
      </c>
      <c r="Q62" s="8" t="n">
        <v>151191.560994935</v>
      </c>
      <c r="R62" s="8" t="n">
        <v>153708.6527764362</v>
      </c>
      <c r="S62" s="8" t="n">
        <v>156406.3152513318</v>
      </c>
    </row>
    <row r="63">
      <c r="A63" t="inlineStr">
        <is>
          <t>Insights compute units</t>
        </is>
      </c>
      <c r="B63" s="8" t="n">
        <v>288906.401096998</v>
      </c>
      <c r="C63" s="8" t="n">
        <v>305511.0366836915</v>
      </c>
      <c r="D63" s="8" t="n">
        <v>322233.1590047177</v>
      </c>
      <c r="E63" s="8" t="n">
        <v>341356.3919729436</v>
      </c>
      <c r="F63" s="8" t="n">
        <v>358231.8201383373</v>
      </c>
      <c r="G63" s="8" t="n">
        <v>376430.8175856507</v>
      </c>
      <c r="H63" s="8" t="n">
        <v>397028.9091494894</v>
      </c>
      <c r="I63" s="8" t="n">
        <v>418620.3959887769</v>
      </c>
      <c r="J63" s="8" t="n">
        <v>441872.289180333</v>
      </c>
      <c r="K63" s="8" t="n">
        <v>467207.8368535606</v>
      </c>
      <c r="L63" s="8" t="n">
        <v>489854.5286761855</v>
      </c>
      <c r="M63" s="8" t="n">
        <v>513116.4673492491</v>
      </c>
      <c r="N63" s="8" t="n">
        <v>539849.2097761526</v>
      </c>
      <c r="O63" s="8" t="n">
        <v>567167.2750256162</v>
      </c>
      <c r="P63" s="8" t="n">
        <v>594266.3584586823</v>
      </c>
      <c r="Q63" s="8" t="n">
        <v>625177.1047140566</v>
      </c>
      <c r="R63" s="8" t="n">
        <v>651724.6877720898</v>
      </c>
      <c r="S63" s="8" t="n">
        <v>679585.4397670367</v>
      </c>
    </row>
    <row r="64">
      <c r="A64" t="inlineStr">
        <is>
          <t>Total units</t>
        </is>
      </c>
      <c r="B64" s="9">
        <f>B62+B63</f>
        <v/>
      </c>
      <c r="C64" s="9">
        <f>C62+C63</f>
        <v/>
      </c>
      <c r="D64" s="9">
        <f>D62+D63</f>
        <v/>
      </c>
      <c r="E64" s="9">
        <f>E62+E63</f>
        <v/>
      </c>
      <c r="F64" s="9">
        <f>F62+F63</f>
        <v/>
      </c>
      <c r="G64" s="9">
        <f>G62+G63</f>
        <v/>
      </c>
      <c r="H64" s="9">
        <f>H62+H63</f>
        <v/>
      </c>
      <c r="I64" s="9">
        <f>I62+I63</f>
        <v/>
      </c>
      <c r="J64" s="9">
        <f>J62+J63</f>
        <v/>
      </c>
      <c r="K64" s="9">
        <f>K62+K63</f>
        <v/>
      </c>
      <c r="L64" s="9">
        <f>L62+L63</f>
        <v/>
      </c>
      <c r="M64" s="9">
        <f>M62+M63</f>
        <v/>
      </c>
      <c r="N64" s="9">
        <f>N62+N63</f>
        <v/>
      </c>
      <c r="O64" s="9">
        <f>O62+O63</f>
        <v/>
      </c>
      <c r="P64" s="9">
        <f>P62+P63</f>
        <v/>
      </c>
      <c r="Q64" s="9">
        <f>Q62+Q63</f>
        <v/>
      </c>
      <c r="R64" s="9">
        <f>R62+R63</f>
        <v/>
      </c>
      <c r="S64" s="9">
        <f>S62+S63</f>
        <v/>
      </c>
    </row>
    <row r="65">
      <c r="A65" t="inlineStr">
        <is>
          <t>Committed units</t>
        </is>
      </c>
      <c r="B65" s="8" t="n">
        <v>444819.6541343022</v>
      </c>
      <c r="C65" s="8" t="n">
        <v>444819.6541343022</v>
      </c>
      <c r="D65" s="8" t="n">
        <v>444819.6541343022</v>
      </c>
      <c r="E65" s="8" t="n">
        <v>444819.6541343022</v>
      </c>
      <c r="F65" s="8" t="n">
        <v>444819.6541343022</v>
      </c>
      <c r="G65" s="8" t="n">
        <v>444819.6541343022</v>
      </c>
      <c r="H65" s="8" t="n">
        <v>444819.6541343022</v>
      </c>
      <c r="I65" s="8" t="n">
        <v>444819.6541343022</v>
      </c>
      <c r="J65" s="8" t="n">
        <v>444819.6541343022</v>
      </c>
      <c r="K65" s="8" t="n">
        <v>444819.6541343022</v>
      </c>
      <c r="L65" s="8" t="n">
        <v>444819.6541343022</v>
      </c>
      <c r="M65" s="8" t="n">
        <v>444819.6541343022</v>
      </c>
      <c r="N65" s="8" t="n">
        <v>444819.6541343022</v>
      </c>
      <c r="O65" s="8" t="n">
        <v>444819.6541343022</v>
      </c>
      <c r="P65" s="8" t="n">
        <v>444819.6541343022</v>
      </c>
      <c r="Q65" s="8" t="n">
        <v>444819.6541343022</v>
      </c>
      <c r="R65" s="8" t="n">
        <v>444819.6541343022</v>
      </c>
      <c r="S65" s="8" t="n">
        <v>444819.6541343022</v>
      </c>
    </row>
    <row r="66">
      <c r="A66" t="inlineStr">
        <is>
          <t>On-demand unit price</t>
        </is>
      </c>
      <c r="B66" s="11" t="n">
        <v>0.4181006336031575</v>
      </c>
      <c r="C66" s="11" t="n">
        <v>0.416846331702348</v>
      </c>
      <c r="D66" s="11" t="n">
        <v>0.415595792707241</v>
      </c>
      <c r="E66" s="11" t="n">
        <v>0.4143490053291193</v>
      </c>
      <c r="F66" s="11" t="n">
        <v>0.4131059583131319</v>
      </c>
      <c r="G66" s="11" t="n">
        <v>0.4118666404381925</v>
      </c>
      <c r="H66" s="11" t="n">
        <v>0.4106310405168779</v>
      </c>
      <c r="I66" s="11" t="n">
        <v>0.4093991473953273</v>
      </c>
      <c r="J66" s="11" t="n">
        <v>0.4081709499531413</v>
      </c>
      <c r="K66" s="11" t="n">
        <v>0.4069464371032819</v>
      </c>
      <c r="L66" s="11" t="n">
        <v>0.405725597791972</v>
      </c>
      <c r="M66" s="11" t="n">
        <v>0.4045084209985961</v>
      </c>
      <c r="N66" s="11" t="n">
        <v>0.4032948957356003</v>
      </c>
      <c r="O66" s="11" t="n">
        <v>0.4020850110483936</v>
      </c>
      <c r="P66" s="11" t="n">
        <v>0.4008787560152484</v>
      </c>
      <c r="Q66" s="11" t="n">
        <v>0.3996761197472026</v>
      </c>
      <c r="R66" s="11" t="n">
        <v>0.398477091387961</v>
      </c>
      <c r="S66" s="11" t="n">
        <v>0.3972816601137971</v>
      </c>
    </row>
    <row r="67">
      <c r="A67" t="inlineStr">
        <is>
          <t>Commitment discount</t>
        </is>
      </c>
      <c r="B67" s="10" t="n">
        <v>0.25</v>
      </c>
      <c r="C67" s="10" t="n">
        <v>0.25</v>
      </c>
      <c r="D67" s="10" t="n">
        <v>0.25</v>
      </c>
      <c r="E67" s="10" t="n">
        <v>0.25</v>
      </c>
      <c r="F67" s="10" t="n">
        <v>0.25</v>
      </c>
      <c r="G67" s="10" t="n">
        <v>0.25</v>
      </c>
      <c r="H67" s="10" t="n">
        <v>0.25</v>
      </c>
      <c r="I67" s="10" t="n">
        <v>0.25</v>
      </c>
      <c r="J67" s="10" t="n">
        <v>0.25</v>
      </c>
      <c r="K67" s="10" t="n">
        <v>0.25</v>
      </c>
      <c r="L67" s="10" t="n">
        <v>0.25</v>
      </c>
      <c r="M67" s="10" t="n">
        <v>0.25</v>
      </c>
      <c r="N67" s="10" t="n">
        <v>0.25</v>
      </c>
      <c r="O67" s="10" t="n">
        <v>0.25</v>
      </c>
      <c r="P67" s="10" t="n">
        <v>0.25</v>
      </c>
      <c r="Q67" s="10" t="n">
        <v>0.25</v>
      </c>
      <c r="R67" s="10" t="n">
        <v>0.25</v>
      </c>
      <c r="S67" s="10" t="n">
        <v>0.25</v>
      </c>
    </row>
    <row r="68">
      <c r="A68" t="inlineStr">
        <is>
          <t>Committed cost</t>
        </is>
      </c>
      <c r="B68" s="6">
        <f>MIN(B64,B65)*B66*(1-B67)</f>
        <v/>
      </c>
      <c r="C68" s="6">
        <f>MIN(C64,C65)*C66*(1-C67)</f>
        <v/>
      </c>
      <c r="D68" s="6">
        <f>MIN(D64,D65)*D66*(1-D67)</f>
        <v/>
      </c>
      <c r="E68" s="6">
        <f>MIN(E64,E65)*E66*(1-E67)</f>
        <v/>
      </c>
      <c r="F68" s="6">
        <f>MIN(F64,F65)*F66*(1-F67)</f>
        <v/>
      </c>
      <c r="G68" s="6">
        <f>MIN(G64,G65)*G66*(1-G67)</f>
        <v/>
      </c>
      <c r="H68" s="6">
        <f>MIN(H64,H65)*H66*(1-H67)</f>
        <v/>
      </c>
      <c r="I68" s="6">
        <f>MIN(I64,I65)*I66*(1-I67)</f>
        <v/>
      </c>
      <c r="J68" s="6">
        <f>MIN(J64,J65)*J66*(1-J67)</f>
        <v/>
      </c>
      <c r="K68" s="6">
        <f>MIN(K64,K65)*K66*(1-K67)</f>
        <v/>
      </c>
      <c r="L68" s="6">
        <f>MIN(L64,L65)*L66*(1-L67)</f>
        <v/>
      </c>
      <c r="M68" s="6">
        <f>MIN(M64,M65)*M66*(1-M67)</f>
        <v/>
      </c>
      <c r="N68" s="6">
        <f>MIN(N64,N65)*N66*(1-N67)</f>
        <v/>
      </c>
      <c r="O68" s="6">
        <f>MIN(O64,O65)*O66*(1-O67)</f>
        <v/>
      </c>
      <c r="P68" s="6">
        <f>MIN(P64,P65)*P66*(1-P67)</f>
        <v/>
      </c>
      <c r="Q68" s="6">
        <f>MIN(Q64,Q65)*Q66*(1-Q67)</f>
        <v/>
      </c>
      <c r="R68" s="6">
        <f>MIN(R64,R65)*R66*(1-R67)</f>
        <v/>
      </c>
      <c r="S68" s="6">
        <f>MIN(S64,S65)*S66*(1-S67)</f>
        <v/>
      </c>
    </row>
    <row r="69">
      <c r="A69" t="inlineStr">
        <is>
          <t>On-demand cost</t>
        </is>
      </c>
      <c r="B69" s="6">
        <f>MAX(B64-B65,0)*B66</f>
        <v/>
      </c>
      <c r="C69" s="6">
        <f>MAX(C64-C65,0)*C66</f>
        <v/>
      </c>
      <c r="D69" s="6">
        <f>MAX(D64-D65,0)*D66</f>
        <v/>
      </c>
      <c r="E69" s="6">
        <f>MAX(E64-E65,0)*E66</f>
        <v/>
      </c>
      <c r="F69" s="6">
        <f>MAX(F64-F65,0)*F66</f>
        <v/>
      </c>
      <c r="G69" s="6">
        <f>MAX(G64-G65,0)*G66</f>
        <v/>
      </c>
      <c r="H69" s="6">
        <f>MAX(H64-H65,0)*H66</f>
        <v/>
      </c>
      <c r="I69" s="6">
        <f>MAX(I64-I65,0)*I66</f>
        <v/>
      </c>
      <c r="J69" s="6">
        <f>MAX(J64-J65,0)*J66</f>
        <v/>
      </c>
      <c r="K69" s="6">
        <f>MAX(K64-K65,0)*K66</f>
        <v/>
      </c>
      <c r="L69" s="6">
        <f>MAX(L64-L65,0)*L66</f>
        <v/>
      </c>
      <c r="M69" s="6">
        <f>MAX(M64-M65,0)*M66</f>
        <v/>
      </c>
      <c r="N69" s="6">
        <f>MAX(N64-N65,0)*N66</f>
        <v/>
      </c>
      <c r="O69" s="6">
        <f>MAX(O64-O65,0)*O66</f>
        <v/>
      </c>
      <c r="P69" s="6">
        <f>MAX(P64-P65,0)*P66</f>
        <v/>
      </c>
      <c r="Q69" s="6">
        <f>MAX(Q64-Q65,0)*Q66</f>
        <v/>
      </c>
      <c r="R69" s="6">
        <f>MAX(R64-R65,0)*R66</f>
        <v/>
      </c>
      <c r="S69" s="6">
        <f>MAX(S64-S65,0)*S66</f>
        <v/>
      </c>
    </row>
    <row r="70">
      <c r="A70" t="inlineStr">
        <is>
          <t>Fixed cloud cost</t>
        </is>
      </c>
      <c r="B70" s="5" t="n">
        <v>28000</v>
      </c>
      <c r="C70" s="5" t="n">
        <v>28000</v>
      </c>
      <c r="D70" s="5" t="n">
        <v>28000</v>
      </c>
      <c r="E70" s="5" t="n">
        <v>28000</v>
      </c>
      <c r="F70" s="5" t="n">
        <v>28000</v>
      </c>
      <c r="G70" s="5" t="n">
        <v>28000</v>
      </c>
      <c r="H70" s="5" t="n">
        <v>28000</v>
      </c>
      <c r="I70" s="5" t="n">
        <v>28000</v>
      </c>
      <c r="J70" s="5" t="n">
        <v>28000</v>
      </c>
      <c r="K70" s="5" t="n">
        <v>28000</v>
      </c>
      <c r="L70" s="5" t="n">
        <v>28000</v>
      </c>
      <c r="M70" s="5" t="n">
        <v>28000</v>
      </c>
      <c r="N70" s="5" t="n">
        <v>28000</v>
      </c>
      <c r="O70" s="5" t="n">
        <v>28000</v>
      </c>
      <c r="P70" s="5" t="n">
        <v>28000</v>
      </c>
      <c r="Q70" s="5" t="n">
        <v>28000</v>
      </c>
      <c r="R70" s="5" t="n">
        <v>28000</v>
      </c>
      <c r="S70" s="5" t="n">
        <v>28000</v>
      </c>
    </row>
    <row r="71">
      <c r="A71" t="inlineStr">
        <is>
          <t>Cloud hosting total</t>
        </is>
      </c>
      <c r="B71" s="6">
        <f>B68+B69+B70</f>
        <v/>
      </c>
      <c r="C71" s="6">
        <f>C68+C69+C70</f>
        <v/>
      </c>
      <c r="D71" s="6">
        <f>D68+D69+D70</f>
        <v/>
      </c>
      <c r="E71" s="6">
        <f>E68+E69+E70</f>
        <v/>
      </c>
      <c r="F71" s="6">
        <f>F68+F69+F70</f>
        <v/>
      </c>
      <c r="G71" s="6">
        <f>G68+G69+G70</f>
        <v/>
      </c>
      <c r="H71" s="6">
        <f>H68+H69+H70</f>
        <v/>
      </c>
      <c r="I71" s="6">
        <f>I68+I69+I70</f>
        <v/>
      </c>
      <c r="J71" s="6">
        <f>J68+J69+J70</f>
        <v/>
      </c>
      <c r="K71" s="6">
        <f>K68+K69+K70</f>
        <v/>
      </c>
      <c r="L71" s="6">
        <f>L68+L69+L70</f>
        <v/>
      </c>
      <c r="M71" s="6">
        <f>M68+M69+M70</f>
        <v/>
      </c>
      <c r="N71" s="6">
        <f>N68+N69+N70</f>
        <v/>
      </c>
      <c r="O71" s="6">
        <f>O68+O69+O70</f>
        <v/>
      </c>
      <c r="P71" s="6">
        <f>P68+P69+P70</f>
        <v/>
      </c>
      <c r="Q71" s="6">
        <f>Q68+Q69+Q70</f>
        <v/>
      </c>
      <c r="R71" s="6">
        <f>R68+R69+R70</f>
        <v/>
      </c>
      <c r="S71" s="6">
        <f>S68+S69+S70</f>
        <v/>
      </c>
    </row>
    <row r="72">
      <c r="A72" s="2" t="inlineStr">
        <is>
          <t>Shaded yellow: values from the model. Shaded blue: Excel formulas.</t>
        </is>
      </c>
    </row>
    <row r="74">
      <c r="A74" s="1" t="inlineStr">
        <is>
          <t>Plan upside: cash</t>
        </is>
      </c>
    </row>
    <row r="75">
      <c r="A75" s="2" t="inlineStr">
        <is>
          <t>USD, monthly</t>
        </is>
      </c>
      <c r="B75" s="4" t="inlineStr">
        <is>
          <t>2026-09</t>
        </is>
      </c>
      <c r="C75" s="4" t="inlineStr">
        <is>
          <t>2026-10</t>
        </is>
      </c>
      <c r="D75" s="4" t="inlineStr">
        <is>
          <t>2026-11</t>
        </is>
      </c>
      <c r="E75" s="4" t="inlineStr">
        <is>
          <t>2026-12</t>
        </is>
      </c>
      <c r="F75" s="4" t="inlineStr">
        <is>
          <t>2027-01</t>
        </is>
      </c>
      <c r="G75" s="4" t="inlineStr">
        <is>
          <t>2027-02</t>
        </is>
      </c>
      <c r="H75" s="4" t="inlineStr">
        <is>
          <t>2027-03</t>
        </is>
      </c>
      <c r="I75" s="4" t="inlineStr">
        <is>
          <t>2027-04</t>
        </is>
      </c>
      <c r="J75" s="4" t="inlineStr">
        <is>
          <t>2027-05</t>
        </is>
      </c>
      <c r="K75" s="4" t="inlineStr">
        <is>
          <t>2027-06</t>
        </is>
      </c>
      <c r="L75" s="4" t="inlineStr">
        <is>
          <t>2027-07</t>
        </is>
      </c>
      <c r="M75" s="4" t="inlineStr">
        <is>
          <t>2027-08</t>
        </is>
      </c>
      <c r="N75" s="4" t="inlineStr">
        <is>
          <t>2027-09</t>
        </is>
      </c>
      <c r="O75" s="4" t="inlineStr">
        <is>
          <t>2027-10</t>
        </is>
      </c>
      <c r="P75" s="4" t="inlineStr">
        <is>
          <t>2027-11</t>
        </is>
      </c>
      <c r="Q75" s="4" t="inlineStr">
        <is>
          <t>2027-12</t>
        </is>
      </c>
      <c r="R75" s="4" t="inlineStr">
        <is>
          <t>2028-01</t>
        </is>
      </c>
      <c r="S75" s="4" t="inlineStr">
        <is>
          <t>2028-02</t>
        </is>
      </c>
    </row>
    <row r="76">
      <c r="A76" t="inlineStr">
        <is>
          <t>Opening cash</t>
        </is>
      </c>
      <c r="B76" s="6">
        <f>24750279.18739851</f>
        <v/>
      </c>
      <c r="C76" s="6">
        <f>B83</f>
        <v/>
      </c>
      <c r="D76" s="6">
        <f>C83</f>
        <v/>
      </c>
      <c r="E76" s="6">
        <f>D83</f>
        <v/>
      </c>
      <c r="F76" s="6">
        <f>E83</f>
        <v/>
      </c>
      <c r="G76" s="6">
        <f>F83</f>
        <v/>
      </c>
      <c r="H76" s="6">
        <f>G83</f>
        <v/>
      </c>
      <c r="I76" s="6">
        <f>H83</f>
        <v/>
      </c>
      <c r="J76" s="6">
        <f>I83</f>
        <v/>
      </c>
      <c r="K76" s="6">
        <f>J83</f>
        <v/>
      </c>
      <c r="L76" s="6">
        <f>K83</f>
        <v/>
      </c>
      <c r="M76" s="6">
        <f>L83</f>
        <v/>
      </c>
      <c r="N76" s="6">
        <f>M83</f>
        <v/>
      </c>
      <c r="O76" s="6">
        <f>N83</f>
        <v/>
      </c>
      <c r="P76" s="6">
        <f>O83</f>
        <v/>
      </c>
      <c r="Q76" s="6">
        <f>P83</f>
        <v/>
      </c>
      <c r="R76" s="6">
        <f>Q83</f>
        <v/>
      </c>
      <c r="S76" s="6">
        <f>R83</f>
        <v/>
      </c>
    </row>
    <row r="77">
      <c r="A77" t="inlineStr">
        <is>
          <t>EBITDA</t>
        </is>
      </c>
      <c r="B77" s="5" t="n">
        <v>-708601.3343256055</v>
      </c>
      <c r="C77" s="5" t="n">
        <v>-742614.8517164565</v>
      </c>
      <c r="D77" s="5" t="n">
        <v>-711578.1770444002</v>
      </c>
      <c r="E77" s="5" t="n">
        <v>-700562.9357204163</v>
      </c>
      <c r="F77" s="5" t="n">
        <v>-627788.4937084469</v>
      </c>
      <c r="G77" s="5" t="n">
        <v>-566253.1140804305</v>
      </c>
      <c r="H77" s="5" t="n">
        <v>-609128.9777691024</v>
      </c>
      <c r="I77" s="5" t="n">
        <v>-471900.7337948438</v>
      </c>
      <c r="J77" s="5" t="n">
        <v>-482350.5689200996</v>
      </c>
      <c r="K77" s="5" t="n">
        <v>-445019.5149522847</v>
      </c>
      <c r="L77" s="5" t="n">
        <v>-252622.4665947543</v>
      </c>
      <c r="M77" s="5" t="n">
        <v>-175319.8062785054</v>
      </c>
      <c r="N77" s="5" t="n">
        <v>-216684.9565894008</v>
      </c>
      <c r="O77" s="5" t="n">
        <v>-154006.2885978939</v>
      </c>
      <c r="P77" s="5" t="n">
        <v>-24540.9206861835</v>
      </c>
      <c r="Q77" s="5" t="n">
        <v>-52517.40950926533</v>
      </c>
      <c r="R77" s="5" t="n">
        <v>325386.7427330976</v>
      </c>
      <c r="S77" s="5" t="n">
        <v>393579.5900835381</v>
      </c>
    </row>
    <row r="78">
      <c r="A78" t="inlineStr">
        <is>
          <t>Equipment capex</t>
        </is>
      </c>
      <c r="B78" s="5" t="n">
        <v>-0</v>
      </c>
      <c r="C78" s="5" t="n">
        <v>-10500</v>
      </c>
      <c r="D78" s="5" t="n">
        <v>-14000</v>
      </c>
      <c r="E78" s="5" t="n">
        <v>-0</v>
      </c>
      <c r="F78" s="5" t="n">
        <v>-28000</v>
      </c>
      <c r="G78" s="5" t="n">
        <v>-7000</v>
      </c>
      <c r="H78" s="5" t="n">
        <v>-7000</v>
      </c>
      <c r="I78" s="5" t="n">
        <v>-3500</v>
      </c>
      <c r="J78" s="5" t="n">
        <v>-7000</v>
      </c>
      <c r="K78" s="5" t="n">
        <v>-0</v>
      </c>
      <c r="L78" s="5" t="n">
        <v>-3500</v>
      </c>
      <c r="M78" s="5" t="n">
        <v>-0</v>
      </c>
      <c r="N78" s="5" t="n">
        <v>-0</v>
      </c>
      <c r="O78" s="5" t="n">
        <v>-3500</v>
      </c>
      <c r="P78" s="5" t="n">
        <v>-0</v>
      </c>
      <c r="Q78" s="5" t="n">
        <v>-0</v>
      </c>
      <c r="R78" s="5" t="n">
        <v>-3500</v>
      </c>
      <c r="S78" s="5" t="n">
        <v>-0</v>
      </c>
    </row>
    <row r="79">
      <c r="A79" t="inlineStr">
        <is>
          <t>Change in receivables</t>
        </is>
      </c>
      <c r="B79" s="5" t="n">
        <v>-102092.6947473441</v>
      </c>
      <c r="C79" s="5" t="n">
        <v>-103182.4670844665</v>
      </c>
      <c r="D79" s="5" t="n">
        <v>-101687.7517733988</v>
      </c>
      <c r="E79" s="5" t="n">
        <v>-121148.018248783</v>
      </c>
      <c r="F79" s="5" t="n">
        <v>-322204.5529153827</v>
      </c>
      <c r="G79" s="5" t="n">
        <v>-113883.620449326</v>
      </c>
      <c r="H79" s="5" t="n">
        <v>-133167.2792269723</v>
      </c>
      <c r="I79" s="5" t="n">
        <v>-124444.5948552764</v>
      </c>
      <c r="J79" s="5" t="n">
        <v>-135939.7141522001</v>
      </c>
      <c r="K79" s="5" t="n">
        <v>-150365.8187711369</v>
      </c>
      <c r="L79" s="5" t="n">
        <v>-125496.8666594783</v>
      </c>
      <c r="M79" s="5" t="n">
        <v>-128424.1550633619</v>
      </c>
      <c r="N79" s="5" t="n">
        <v>-153425.7354403529</v>
      </c>
      <c r="O79" s="5" t="n">
        <v>-155382.5520807989</v>
      </c>
      <c r="P79" s="5" t="n">
        <v>-151463.0974301221</v>
      </c>
      <c r="Q79" s="5" t="n">
        <v>-177265.1658015335</v>
      </c>
      <c r="R79" s="5" t="n">
        <v>-472430.1647987384</v>
      </c>
      <c r="S79" s="5" t="n">
        <v>-159024.4486130401</v>
      </c>
    </row>
    <row r="80">
      <c r="A80" t="inlineStr">
        <is>
          <t>Change in deferred revenue</t>
        </is>
      </c>
      <c r="B80" s="5" t="n">
        <v>149735.9522961061</v>
      </c>
      <c r="C80" s="5" t="n">
        <v>151334.285057216</v>
      </c>
      <c r="D80" s="5" t="n">
        <v>149142.0359343188</v>
      </c>
      <c r="E80" s="5" t="n">
        <v>177683.7600982161</v>
      </c>
      <c r="F80" s="5" t="n">
        <v>472566.6776092267</v>
      </c>
      <c r="G80" s="5" t="n">
        <v>167029.309992345</v>
      </c>
      <c r="H80" s="5" t="n">
        <v>195312.0095328921</v>
      </c>
      <c r="I80" s="5" t="n">
        <v>182518.7391210729</v>
      </c>
      <c r="J80" s="5" t="n">
        <v>199378.247423226</v>
      </c>
      <c r="K80" s="5" t="n">
        <v>220536.5341976676</v>
      </c>
      <c r="L80" s="5" t="n">
        <v>184062.0711005693</v>
      </c>
      <c r="M80" s="5" t="n">
        <v>188355.4274262628</v>
      </c>
      <c r="N80" s="5" t="n">
        <v>225024.4119791836</v>
      </c>
      <c r="O80" s="5" t="n">
        <v>227894.409718506</v>
      </c>
      <c r="P80" s="5" t="n">
        <v>222145.8762308471</v>
      </c>
      <c r="Q80" s="5" t="n">
        <v>259988.909842249</v>
      </c>
      <c r="R80" s="5" t="n">
        <v>692897.5750381509</v>
      </c>
      <c r="S80" s="5" t="n">
        <v>233235.8579657897</v>
      </c>
    </row>
    <row r="81">
      <c r="A81" t="inlineStr">
        <is>
          <t>Financing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</row>
    <row r="82">
      <c r="A82" t="inlineStr">
        <is>
          <t>Net cash flow</t>
        </is>
      </c>
      <c r="B82" s="6">
        <f>B77+B78+B79+B80+B81</f>
        <v/>
      </c>
      <c r="C82" s="6">
        <f>C77+C78+C79+C80+C81</f>
        <v/>
      </c>
      <c r="D82" s="6">
        <f>D77+D78+D79+D80+D81</f>
        <v/>
      </c>
      <c r="E82" s="6">
        <f>E77+E78+E79+E80+E81</f>
        <v/>
      </c>
      <c r="F82" s="6">
        <f>F77+F78+F79+F80+F81</f>
        <v/>
      </c>
      <c r="G82" s="6">
        <f>G77+G78+G79+G80+G81</f>
        <v/>
      </c>
      <c r="H82" s="6">
        <f>H77+H78+H79+H80+H81</f>
        <v/>
      </c>
      <c r="I82" s="6">
        <f>I77+I78+I79+I80+I81</f>
        <v/>
      </c>
      <c r="J82" s="6">
        <f>J77+J78+J79+J80+J81</f>
        <v/>
      </c>
      <c r="K82" s="6">
        <f>K77+K78+K79+K80+K81</f>
        <v/>
      </c>
      <c r="L82" s="6">
        <f>L77+L78+L79+L80+L81</f>
        <v/>
      </c>
      <c r="M82" s="6">
        <f>M77+M78+M79+M80+M81</f>
        <v/>
      </c>
      <c r="N82" s="6">
        <f>N77+N78+N79+N80+N81</f>
        <v/>
      </c>
      <c r="O82" s="6">
        <f>O77+O78+O79+O80+O81</f>
        <v/>
      </c>
      <c r="P82" s="6">
        <f>P77+P78+P79+P80+P81</f>
        <v/>
      </c>
      <c r="Q82" s="6">
        <f>Q77+Q78+Q79+Q80+Q81</f>
        <v/>
      </c>
      <c r="R82" s="6">
        <f>R77+R78+R79+R80+R81</f>
        <v/>
      </c>
      <c r="S82" s="6">
        <f>S77+S78+S79+S80+S81</f>
        <v/>
      </c>
    </row>
    <row r="83">
      <c r="A83" t="inlineStr">
        <is>
          <t>Closing cash</t>
        </is>
      </c>
      <c r="B83" s="6">
        <f>B76+B82</f>
        <v/>
      </c>
      <c r="C83" s="6">
        <f>C76+C82</f>
        <v/>
      </c>
      <c r="D83" s="6">
        <f>D76+D82</f>
        <v/>
      </c>
      <c r="E83" s="6">
        <f>E76+E82</f>
        <v/>
      </c>
      <c r="F83" s="6">
        <f>F76+F82</f>
        <v/>
      </c>
      <c r="G83" s="6">
        <f>G76+G82</f>
        <v/>
      </c>
      <c r="H83" s="6">
        <f>H76+H82</f>
        <v/>
      </c>
      <c r="I83" s="6">
        <f>I76+I82</f>
        <v/>
      </c>
      <c r="J83" s="6">
        <f>J76+J82</f>
        <v/>
      </c>
      <c r="K83" s="6">
        <f>K76+K82</f>
        <v/>
      </c>
      <c r="L83" s="6">
        <f>L76+L82</f>
        <v/>
      </c>
      <c r="M83" s="6">
        <f>M76+M82</f>
        <v/>
      </c>
      <c r="N83" s="6">
        <f>N76+N82</f>
        <v/>
      </c>
      <c r="O83" s="6">
        <f>O76+O82</f>
        <v/>
      </c>
      <c r="P83" s="6">
        <f>P76+P82</f>
        <v/>
      </c>
      <c r="Q83" s="6">
        <f>Q76+Q82</f>
        <v/>
      </c>
      <c r="R83" s="6">
        <f>R76+R82</f>
        <v/>
      </c>
      <c r="S83" s="6">
        <f>S76+S82</f>
        <v/>
      </c>
    </row>
    <row r="84">
      <c r="A84" t="inlineStr">
        <is>
          <t>Receivables</t>
        </is>
      </c>
      <c r="B84" s="5" t="n">
        <v>3133602.238689078</v>
      </c>
      <c r="C84" s="5" t="n">
        <v>3236784.705773544</v>
      </c>
      <c r="D84" s="5" t="n">
        <v>3338472.457546943</v>
      </c>
      <c r="E84" s="5" t="n">
        <v>3459620.475795726</v>
      </c>
      <c r="F84" s="5" t="n">
        <v>3781825.028711108</v>
      </c>
      <c r="G84" s="5" t="n">
        <v>3895708.649160434</v>
      </c>
      <c r="H84" s="5" t="n">
        <v>4028875.928387407</v>
      </c>
      <c r="I84" s="5" t="n">
        <v>4153320.523242683</v>
      </c>
      <c r="J84" s="5" t="n">
        <v>4289260.237394883</v>
      </c>
      <c r="K84" s="5" t="n">
        <v>4439626.05616602</v>
      </c>
      <c r="L84" s="5" t="n">
        <v>4565122.922825499</v>
      </c>
      <c r="M84" s="5" t="n">
        <v>4693547.07788886</v>
      </c>
      <c r="N84" s="5" t="n">
        <v>4846972.813329213</v>
      </c>
      <c r="O84" s="5" t="n">
        <v>5002355.365410012</v>
      </c>
      <c r="P84" s="5" t="n">
        <v>5153818.462840134</v>
      </c>
      <c r="Q84" s="5" t="n">
        <v>5331083.628641668</v>
      </c>
      <c r="R84" s="5" t="n">
        <v>5803513.793440406</v>
      </c>
      <c r="S84" s="5" t="n">
        <v>5962538.242053446</v>
      </c>
    </row>
    <row r="85">
      <c r="A85" t="inlineStr">
        <is>
          <t>Deferred revenue</t>
        </is>
      </c>
      <c r="B85" s="5" t="n">
        <v>4595949.950077315</v>
      </c>
      <c r="C85" s="5" t="n">
        <v>4747284.235134531</v>
      </c>
      <c r="D85" s="5" t="n">
        <v>4896426.27106885</v>
      </c>
      <c r="E85" s="5" t="n">
        <v>5074110.031167066</v>
      </c>
      <c r="F85" s="5" t="n">
        <v>5546676.708776292</v>
      </c>
      <c r="G85" s="5" t="n">
        <v>5713706.018768637</v>
      </c>
      <c r="H85" s="5" t="n">
        <v>5909018.02830153</v>
      </c>
      <c r="I85" s="5" t="n">
        <v>6091536.767422603</v>
      </c>
      <c r="J85" s="5" t="n">
        <v>6290915.014845829</v>
      </c>
      <c r="K85" s="5" t="n">
        <v>6511451.549043496</v>
      </c>
      <c r="L85" s="5" t="n">
        <v>6695513.620144065</v>
      </c>
      <c r="M85" s="5" t="n">
        <v>6883869.047570328</v>
      </c>
      <c r="N85" s="5" t="n">
        <v>7108893.459549512</v>
      </c>
      <c r="O85" s="5" t="n">
        <v>7336787.869268018</v>
      </c>
      <c r="P85" s="5" t="n">
        <v>7558933.745498865</v>
      </c>
      <c r="Q85" s="5" t="n">
        <v>7818922.655341114</v>
      </c>
      <c r="R85" s="5" t="n">
        <v>8511820.230379265</v>
      </c>
      <c r="S85" s="5" t="n">
        <v>8745056.088345055</v>
      </c>
    </row>
    <row r="86">
      <c r="A86" t="inlineStr">
        <is>
          <t>Net burn, trailing 3 months</t>
        </is>
      </c>
      <c r="B86" s="5" t="n">
        <v>660958.0767768435</v>
      </c>
      <c r="C86" s="5" t="n">
        <v>682960.5552602753</v>
      </c>
      <c r="D86" s="5" t="n">
        <v>681348.3344680102</v>
      </c>
      <c r="E86" s="5" t="n">
        <v>675704.7068327235</v>
      </c>
      <c r="F86" s="5" t="n">
        <v>609192.4852563554</v>
      </c>
      <c r="G86" s="5" t="n">
        <v>556520.3291409991</v>
      </c>
      <c r="H86" s="5" t="n">
        <v>526506.0136717323</v>
      </c>
      <c r="I86" s="5" t="n">
        <v>497139.4205098804</v>
      </c>
      <c r="J86" s="5" t="n">
        <v>465740.9575471012</v>
      </c>
      <c r="K86" s="5" t="n">
        <v>406029.1415679583</v>
      </c>
      <c r="L86" s="5" t="n">
        <v>332772.699109497</v>
      </c>
      <c r="M86" s="5" t="n">
        <v>229264.8651983406</v>
      </c>
      <c r="N86" s="5" t="n">
        <v>152677.3587066126</v>
      </c>
      <c r="O86" s="5" t="n">
        <v>115156.4149754538</v>
      </c>
      <c r="P86" s="5" t="n">
        <v>61312.95096540513</v>
      </c>
      <c r="Q86" s="5" t="n">
        <v>2882.079438065024</v>
      </c>
      <c r="R86" s="5" t="n">
        <v>-206234.1152061672</v>
      </c>
      <c r="S86" s="5" t="n">
        <v>-346783.8289800826</v>
      </c>
    </row>
    <row r="87">
      <c r="A87" t="inlineStr">
        <is>
          <t>Runway (months)</t>
        </is>
      </c>
      <c r="B87" s="8" t="n">
        <v>36.44606512427087</v>
      </c>
      <c r="C87" s="8" t="n">
        <v>34.23969056011766</v>
      </c>
      <c r="D87" s="8" t="n">
        <v>33.32544167987623</v>
      </c>
      <c r="E87" s="8" t="n">
        <v>32.65066347330504</v>
      </c>
      <c r="F87" s="8" t="n">
        <v>35.3858281952338</v>
      </c>
      <c r="G87" s="8" t="n">
        <v>37.80036792014774</v>
      </c>
      <c r="H87" s="8" t="n">
        <v>38.90304843104586</v>
      </c>
      <c r="I87" s="8" t="n">
        <v>40.36164007875224</v>
      </c>
      <c r="J87" s="8" t="n">
        <v>42.16818384916041</v>
      </c>
      <c r="K87" s="8" t="n">
        <v>47.44635188009048</v>
      </c>
      <c r="L87" s="8" t="n">
        <v>57.29750160777719</v>
      </c>
      <c r="M87" s="8" t="n">
        <v>82.66271289296675</v>
      </c>
      <c r="N87" s="8" t="n">
        <v>123.1785092930747</v>
      </c>
      <c r="O87" s="8" t="n">
        <v>162.5751810814448</v>
      </c>
      <c r="P87" s="8" t="n">
        <v>306.0971064013593</v>
      </c>
      <c r="Q87" s="8" t="n">
        <v>6522.347358541573</v>
      </c>
      <c r="R87" s="8" t="n">
        <v/>
      </c>
      <c r="S87" s="8" t="n">
        <v/>
      </c>
    </row>
    <row r="88">
      <c r="A88" s="2" t="inlineStr">
        <is>
          <t>Shaded yellow: values from the model. Shaded blue: Excel formulas.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Plan downside: P&amp;L</t>
        </is>
      </c>
    </row>
    <row r="2">
      <c r="A2" s="2" t="inlineStr">
        <is>
          <t>USD, monthly</t>
        </is>
      </c>
      <c r="B2" s="4" t="inlineStr">
        <is>
          <t>2026-09</t>
        </is>
      </c>
      <c r="C2" s="4" t="inlineStr">
        <is>
          <t>2026-10</t>
        </is>
      </c>
      <c r="D2" s="4" t="inlineStr">
        <is>
          <t>2026-11</t>
        </is>
      </c>
      <c r="E2" s="4" t="inlineStr">
        <is>
          <t>2026-12</t>
        </is>
      </c>
      <c r="F2" s="4" t="inlineStr">
        <is>
          <t>2027-01</t>
        </is>
      </c>
      <c r="G2" s="4" t="inlineStr">
        <is>
          <t>2027-02</t>
        </is>
      </c>
      <c r="H2" s="4" t="inlineStr">
        <is>
          <t>2027-03</t>
        </is>
      </c>
      <c r="I2" s="4" t="inlineStr">
        <is>
          <t>2027-04</t>
        </is>
      </c>
      <c r="J2" s="4" t="inlineStr">
        <is>
          <t>2027-05</t>
        </is>
      </c>
      <c r="K2" s="4" t="inlineStr">
        <is>
          <t>2027-06</t>
        </is>
      </c>
      <c r="L2" s="4" t="inlineStr">
        <is>
          <t>2027-07</t>
        </is>
      </c>
      <c r="M2" s="4" t="inlineStr">
        <is>
          <t>2027-08</t>
        </is>
      </c>
      <c r="N2" s="4" t="inlineStr">
        <is>
          <t>2027-09</t>
        </is>
      </c>
      <c r="O2" s="4" t="inlineStr">
        <is>
          <t>2027-10</t>
        </is>
      </c>
      <c r="P2" s="4" t="inlineStr">
        <is>
          <t>2027-11</t>
        </is>
      </c>
      <c r="Q2" s="4" t="inlineStr">
        <is>
          <t>2027-12</t>
        </is>
      </c>
      <c r="R2" s="4" t="inlineStr">
        <is>
          <t>2028-01</t>
        </is>
      </c>
      <c r="S2" s="4" t="inlineStr">
        <is>
          <t>2028-02</t>
        </is>
      </c>
    </row>
    <row r="3">
      <c r="A3" t="inlineStr">
        <is>
          <t>Platform revenue</t>
        </is>
      </c>
      <c r="B3" s="5" t="n">
        <v>1867082.760559105</v>
      </c>
      <c r="C3" s="5" t="n">
        <v>1879003.76841074</v>
      </c>
      <c r="D3" s="5" t="n">
        <v>1890143.363333578</v>
      </c>
      <c r="E3" s="5" t="n">
        <v>1906182.556706895</v>
      </c>
      <c r="F3" s="5" t="n">
        <v>1973434.368480938</v>
      </c>
      <c r="G3" s="5" t="n">
        <v>1985450.097787584</v>
      </c>
      <c r="H3" s="5" t="n">
        <v>2002062.531498102</v>
      </c>
      <c r="I3" s="5" t="n">
        <v>2015448.50266555</v>
      </c>
      <c r="J3" s="5" t="n">
        <v>2031311.648376565</v>
      </c>
      <c r="K3" s="5" t="n">
        <v>2050327.255295191</v>
      </c>
      <c r="L3" s="5" t="n">
        <v>2062468.092730389</v>
      </c>
      <c r="M3" s="5" t="n">
        <v>2074880.840472761</v>
      </c>
      <c r="N3" s="5" t="n">
        <v>2093065.336935046</v>
      </c>
      <c r="O3" s="5" t="n">
        <v>2111140.193466133</v>
      </c>
      <c r="P3" s="5" t="n">
        <v>2127644.423868943</v>
      </c>
      <c r="Q3" s="5" t="n">
        <v>2149895.73418226</v>
      </c>
      <c r="R3" s="5" t="n">
        <v>2228529.162531291</v>
      </c>
      <c r="S3" s="5" t="n">
        <v>2243697.110358542</v>
      </c>
    </row>
    <row r="4">
      <c r="A4" t="inlineStr">
        <is>
          <t>Insights revenue</t>
        </is>
      </c>
      <c r="B4" s="5" t="n">
        <v>168269.3021504511</v>
      </c>
      <c r="C4" s="5" t="n">
        <v>170641.7040889875</v>
      </c>
      <c r="D4" s="5" t="n">
        <v>172961.4289853811</v>
      </c>
      <c r="E4" s="5" t="n">
        <v>175816.6349871392</v>
      </c>
      <c r="F4" s="5" t="n">
        <v>178013.3405340078</v>
      </c>
      <c r="G4" s="5" t="n">
        <v>180471.1780123256</v>
      </c>
      <c r="H4" s="5" t="n">
        <v>183438.7292557767</v>
      </c>
      <c r="I4" s="5" t="n">
        <v>187127.8022330982</v>
      </c>
      <c r="J4" s="5" t="n">
        <v>191131.7728668884</v>
      </c>
      <c r="K4" s="5" t="n">
        <v>195538.2747682362</v>
      </c>
      <c r="L4" s="5" t="n">
        <v>199236.9291693873</v>
      </c>
      <c r="M4" s="5" t="n">
        <v>203010.3884983058</v>
      </c>
      <c r="N4" s="5" t="n">
        <v>207500.3142879059</v>
      </c>
      <c r="O4" s="5" t="n">
        <v>212041.4337287576</v>
      </c>
      <c r="P4" s="5" t="n">
        <v>216458.0593512053</v>
      </c>
      <c r="Q4" s="5" t="n">
        <v>221637.7669524256</v>
      </c>
      <c r="R4" s="5" t="n">
        <v>225789.5367375689</v>
      </c>
      <c r="S4" s="5" t="n">
        <v>230166.8237095801</v>
      </c>
    </row>
    <row r="5">
      <c r="A5" t="inlineStr">
        <is>
          <t>Revenue</t>
        </is>
      </c>
      <c r="B5" s="6">
        <f>B3+B4</f>
        <v/>
      </c>
      <c r="C5" s="6">
        <f>C3+C4</f>
        <v/>
      </c>
      <c r="D5" s="6">
        <f>D3+D4</f>
        <v/>
      </c>
      <c r="E5" s="6">
        <f>E3+E4</f>
        <v/>
      </c>
      <c r="F5" s="6">
        <f>F3+F4</f>
        <v/>
      </c>
      <c r="G5" s="6">
        <f>G3+G4</f>
        <v/>
      </c>
      <c r="H5" s="6">
        <f>H3+H4</f>
        <v/>
      </c>
      <c r="I5" s="6">
        <f>I3+I4</f>
        <v/>
      </c>
      <c r="J5" s="6">
        <f>J3+J4</f>
        <v/>
      </c>
      <c r="K5" s="6">
        <f>K3+K4</f>
        <v/>
      </c>
      <c r="L5" s="6">
        <f>L3+L4</f>
        <v/>
      </c>
      <c r="M5" s="6">
        <f>M3+M4</f>
        <v/>
      </c>
      <c r="N5" s="6">
        <f>N3+N4</f>
        <v/>
      </c>
      <c r="O5" s="6">
        <f>O3+O4</f>
        <v/>
      </c>
      <c r="P5" s="6">
        <f>P3+P4</f>
        <v/>
      </c>
      <c r="Q5" s="6">
        <f>Q3+Q4</f>
        <v/>
      </c>
      <c r="R5" s="6">
        <f>R3+R4</f>
        <v/>
      </c>
      <c r="S5" s="6">
        <f>S3+S4</f>
        <v/>
      </c>
    </row>
    <row r="6">
      <c r="A6" t="inlineStr">
        <is>
          <t>Cloud hosting</t>
        </is>
      </c>
      <c r="B6" s="5" t="n">
        <v>148101.7993211233</v>
      </c>
      <c r="C6" s="5" t="n">
        <v>148928.7517754875</v>
      </c>
      <c r="D6" s="5" t="n">
        <v>149704.2431713851</v>
      </c>
      <c r="E6" s="5" t="n">
        <v>150840.2056384194</v>
      </c>
      <c r="F6" s="5" t="n">
        <v>151500.5954178278</v>
      </c>
      <c r="G6" s="5" t="n">
        <v>152328.8362682929</v>
      </c>
      <c r="H6" s="5" t="n">
        <v>153491.3878077713</v>
      </c>
      <c r="I6" s="5" t="n">
        <v>154937.6516888933</v>
      </c>
      <c r="J6" s="5" t="n">
        <v>156572.2591125014</v>
      </c>
      <c r="K6" s="5" t="n">
        <v>158448.8690894603</v>
      </c>
      <c r="L6" s="5" t="n">
        <v>159826.7076244422</v>
      </c>
      <c r="M6" s="5" t="n">
        <v>161231.4456782133</v>
      </c>
      <c r="N6" s="5" t="n">
        <v>163080.010515716</v>
      </c>
      <c r="O6" s="5" t="n">
        <v>164931.9955328143</v>
      </c>
      <c r="P6" s="5" t="n">
        <v>166674.6260622167</v>
      </c>
      <c r="Q6" s="5" t="n">
        <v>169197.9109728633</v>
      </c>
      <c r="R6" s="5" t="n">
        <v>171220.2532701098</v>
      </c>
      <c r="S6" s="5" t="n">
        <v>173398.5766934981</v>
      </c>
    </row>
    <row r="7">
      <c r="A7" t="inlineStr">
        <is>
          <t>Third-party software and data</t>
        </is>
      </c>
      <c r="B7" s="5" t="n">
        <v>61060.56188128669</v>
      </c>
      <c r="C7" s="5" t="n">
        <v>61489.36417499182</v>
      </c>
      <c r="D7" s="5" t="n">
        <v>61893.14376956878</v>
      </c>
      <c r="E7" s="5" t="n">
        <v>62459.97575082102</v>
      </c>
      <c r="F7" s="5" t="n">
        <v>64543.43127044838</v>
      </c>
      <c r="G7" s="5" t="n">
        <v>64977.6382739973</v>
      </c>
      <c r="H7" s="5" t="n">
        <v>65565.03782261634</v>
      </c>
      <c r="I7" s="5" t="n">
        <v>66077.28914695943</v>
      </c>
      <c r="J7" s="5" t="n">
        <v>66673.3026373036</v>
      </c>
      <c r="K7" s="5" t="n">
        <v>67375.9659019028</v>
      </c>
      <c r="L7" s="5" t="n">
        <v>67851.1506569933</v>
      </c>
      <c r="M7" s="5" t="n">
        <v>68336.73686913199</v>
      </c>
      <c r="N7" s="5" t="n">
        <v>69016.96953668856</v>
      </c>
      <c r="O7" s="5" t="n">
        <v>69695.44881584671</v>
      </c>
      <c r="P7" s="5" t="n">
        <v>70323.07449660444</v>
      </c>
      <c r="Q7" s="5" t="n">
        <v>71146.00503404059</v>
      </c>
      <c r="R7" s="5" t="n">
        <v>73629.5609780658</v>
      </c>
      <c r="S7" s="5" t="n">
        <v>74215.91802204367</v>
      </c>
    </row>
    <row r="8">
      <c r="A8" t="inlineStr">
        <is>
          <t>Payment processing</t>
        </is>
      </c>
      <c r="B8" s="5" t="n">
        <v>30530.28094064334</v>
      </c>
      <c r="C8" s="5" t="n">
        <v>30744.68208749591</v>
      </c>
      <c r="D8" s="5" t="n">
        <v>30946.57188478439</v>
      </c>
      <c r="E8" s="5" t="n">
        <v>31229.98787541051</v>
      </c>
      <c r="F8" s="5" t="n">
        <v>32271.71563522419</v>
      </c>
      <c r="G8" s="5" t="n">
        <v>32488.81913699865</v>
      </c>
      <c r="H8" s="5" t="n">
        <v>32782.51891130817</v>
      </c>
      <c r="I8" s="5" t="n">
        <v>33038.64457347971</v>
      </c>
      <c r="J8" s="5" t="n">
        <v>33336.6513186518</v>
      </c>
      <c r="K8" s="5" t="n">
        <v>33687.9829509514</v>
      </c>
      <c r="L8" s="5" t="n">
        <v>33925.57532849665</v>
      </c>
      <c r="M8" s="5" t="n">
        <v>34168.368434566</v>
      </c>
      <c r="N8" s="5" t="n">
        <v>34508.48476834429</v>
      </c>
      <c r="O8" s="5" t="n">
        <v>34847.72440792336</v>
      </c>
      <c r="P8" s="5" t="n">
        <v>35161.53724830222</v>
      </c>
      <c r="Q8" s="5" t="n">
        <v>35573.00251702029</v>
      </c>
      <c r="R8" s="5" t="n">
        <v>36814.7804890329</v>
      </c>
      <c r="S8" s="5" t="n">
        <v>37107.95901102183</v>
      </c>
    </row>
    <row r="9">
      <c r="A9" t="inlineStr">
        <is>
          <t>Customer operations payroll</t>
        </is>
      </c>
      <c r="B9" s="5" t="n">
        <v>276901.4809193134</v>
      </c>
      <c r="C9" s="5" t="n">
        <v>276901.4809193134</v>
      </c>
      <c r="D9" s="5" t="n">
        <v>276901.4809193134</v>
      </c>
      <c r="E9" s="5" t="n">
        <v>276901.4809193134</v>
      </c>
      <c r="F9" s="5" t="n">
        <v>286593.0327514894</v>
      </c>
      <c r="G9" s="5" t="n">
        <v>286593.0327514894</v>
      </c>
      <c r="H9" s="5" t="n">
        <v>286593.0327514894</v>
      </c>
      <c r="I9" s="5" t="n">
        <v>286593.0327514894</v>
      </c>
      <c r="J9" s="5" t="n">
        <v>286593.0327514894</v>
      </c>
      <c r="K9" s="5" t="n">
        <v>286593.0327514894</v>
      </c>
      <c r="L9" s="5" t="n">
        <v>286593.0327514894</v>
      </c>
      <c r="M9" s="5" t="n">
        <v>286593.0327514894</v>
      </c>
      <c r="N9" s="5" t="n">
        <v>286593.0327514894</v>
      </c>
      <c r="O9" s="5" t="n">
        <v>286593.0327514894</v>
      </c>
      <c r="P9" s="5" t="n">
        <v>286593.0327514894</v>
      </c>
      <c r="Q9" s="5" t="n">
        <v>286593.0327514894</v>
      </c>
      <c r="R9" s="5" t="n">
        <v>296623.7888977915</v>
      </c>
      <c r="S9" s="5" t="n">
        <v>296623.7888977915</v>
      </c>
    </row>
    <row r="10">
      <c r="A10" t="inlineStr">
        <is>
          <t>Customer operations recruiting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</row>
    <row r="11">
      <c r="A11" t="inlineStr">
        <is>
          <t>Cost of revenue</t>
        </is>
      </c>
      <c r="B11" s="6">
        <f>B6+B7+B8+B9+B10</f>
        <v/>
      </c>
      <c r="C11" s="6">
        <f>C6+C7+C8+C9+C10</f>
        <v/>
      </c>
      <c r="D11" s="6">
        <f>D6+D7+D8+D9+D10</f>
        <v/>
      </c>
      <c r="E11" s="6">
        <f>E6+E7+E8+E9+E10</f>
        <v/>
      </c>
      <c r="F11" s="6">
        <f>F6+F7+F8+F9+F10</f>
        <v/>
      </c>
      <c r="G11" s="6">
        <f>G6+G7+G8+G9+G10</f>
        <v/>
      </c>
      <c r="H11" s="6">
        <f>H6+H7+H8+H9+H10</f>
        <v/>
      </c>
      <c r="I11" s="6">
        <f>I6+I7+I8+I9+I10</f>
        <v/>
      </c>
      <c r="J11" s="6">
        <f>J6+J7+J8+J9+J10</f>
        <v/>
      </c>
      <c r="K11" s="6">
        <f>K6+K7+K8+K9+K10</f>
        <v/>
      </c>
      <c r="L11" s="6">
        <f>L6+L7+L8+L9+L10</f>
        <v/>
      </c>
      <c r="M11" s="6">
        <f>M6+M7+M8+M9+M10</f>
        <v/>
      </c>
      <c r="N11" s="6">
        <f>N6+N7+N8+N9+N10</f>
        <v/>
      </c>
      <c r="O11" s="6">
        <f>O6+O7+O8+O9+O10</f>
        <v/>
      </c>
      <c r="P11" s="6">
        <f>P6+P7+P8+P9+P10</f>
        <v/>
      </c>
      <c r="Q11" s="6">
        <f>Q6+Q7+Q8+Q9+Q10</f>
        <v/>
      </c>
      <c r="R11" s="6">
        <f>R6+R7+R8+R9+R10</f>
        <v/>
      </c>
      <c r="S11" s="6">
        <f>S6+S7+S8+S9+S10</f>
        <v/>
      </c>
    </row>
    <row r="12">
      <c r="A12" t="inlineStr">
        <is>
          <t>Gross profit</t>
        </is>
      </c>
      <c r="B12" s="6">
        <f>B5-B11</f>
        <v/>
      </c>
      <c r="C12" s="6">
        <f>C5-C11</f>
        <v/>
      </c>
      <c r="D12" s="6">
        <f>D5-D11</f>
        <v/>
      </c>
      <c r="E12" s="6">
        <f>E5-E11</f>
        <v/>
      </c>
      <c r="F12" s="6">
        <f>F5-F11</f>
        <v/>
      </c>
      <c r="G12" s="6">
        <f>G5-G11</f>
        <v/>
      </c>
      <c r="H12" s="6">
        <f>H5-H11</f>
        <v/>
      </c>
      <c r="I12" s="6">
        <f>I5-I11</f>
        <v/>
      </c>
      <c r="J12" s="6">
        <f>J5-J11</f>
        <v/>
      </c>
      <c r="K12" s="6">
        <f>K5-K11</f>
        <v/>
      </c>
      <c r="L12" s="6">
        <f>L5-L11</f>
        <v/>
      </c>
      <c r="M12" s="6">
        <f>M5-M11</f>
        <v/>
      </c>
      <c r="N12" s="6">
        <f>N5-N11</f>
        <v/>
      </c>
      <c r="O12" s="6">
        <f>O5-O11</f>
        <v/>
      </c>
      <c r="P12" s="6">
        <f>P5-P11</f>
        <v/>
      </c>
      <c r="Q12" s="6">
        <f>Q5-Q11</f>
        <v/>
      </c>
      <c r="R12" s="6">
        <f>R5-R11</f>
        <v/>
      </c>
      <c r="S12" s="6">
        <f>S5-S11</f>
        <v/>
      </c>
    </row>
    <row r="13">
      <c r="A13" t="inlineStr">
        <is>
          <t>Gross margin</t>
        </is>
      </c>
      <c r="B13" s="7">
        <f>IF(B5=0,0,B12/B5)</f>
        <v/>
      </c>
      <c r="C13" s="7">
        <f>IF(C5=0,0,C12/C5)</f>
        <v/>
      </c>
      <c r="D13" s="7">
        <f>IF(D5=0,0,D12/D5)</f>
        <v/>
      </c>
      <c r="E13" s="7">
        <f>IF(E5=0,0,E12/E5)</f>
        <v/>
      </c>
      <c r="F13" s="7">
        <f>IF(F5=0,0,F12/F5)</f>
        <v/>
      </c>
      <c r="G13" s="7">
        <f>IF(G5=0,0,G12/G5)</f>
        <v/>
      </c>
      <c r="H13" s="7">
        <f>IF(H5=0,0,H12/H5)</f>
        <v/>
      </c>
      <c r="I13" s="7">
        <f>IF(I5=0,0,I12/I5)</f>
        <v/>
      </c>
      <c r="J13" s="7">
        <f>IF(J5=0,0,J12/J5)</f>
        <v/>
      </c>
      <c r="K13" s="7">
        <f>IF(K5=0,0,K12/K5)</f>
        <v/>
      </c>
      <c r="L13" s="7">
        <f>IF(L5=0,0,L12/L5)</f>
        <v/>
      </c>
      <c r="M13" s="7">
        <f>IF(M5=0,0,M12/M5)</f>
        <v/>
      </c>
      <c r="N13" s="7">
        <f>IF(N5=0,0,N12/N5)</f>
        <v/>
      </c>
      <c r="O13" s="7">
        <f>IF(O5=0,0,O12/O5)</f>
        <v/>
      </c>
      <c r="P13" s="7">
        <f>IF(P5=0,0,P12/P5)</f>
        <v/>
      </c>
      <c r="Q13" s="7">
        <f>IF(Q5=0,0,Q12/Q5)</f>
        <v/>
      </c>
      <c r="R13" s="7">
        <f>IF(R5=0,0,R12/R5)</f>
        <v/>
      </c>
      <c r="S13" s="7">
        <f>IF(S5=0,0,S12/S5)</f>
        <v/>
      </c>
    </row>
    <row r="14">
      <c r="A14" t="inlineStr">
        <is>
          <t>R&amp;D payroll</t>
        </is>
      </c>
      <c r="B14" s="5" t="n">
        <v>917162.2833986612</v>
      </c>
      <c r="C14" s="5" t="n">
        <v>942862.7833986612</v>
      </c>
      <c r="D14" s="5" t="n">
        <v>983087.5367319945</v>
      </c>
      <c r="E14" s="5" t="n">
        <v>983087.5367319945</v>
      </c>
      <c r="F14" s="5" t="n">
        <v>1054404.033850948</v>
      </c>
      <c r="G14" s="5" t="n">
        <v>1067983.403850948</v>
      </c>
      <c r="H14" s="5" t="n">
        <v>1087515.783850948</v>
      </c>
      <c r="I14" s="5" t="n">
        <v>1087515.783850948</v>
      </c>
      <c r="J14" s="5" t="n">
        <v>1108208.157184281</v>
      </c>
      <c r="K14" s="5" t="n">
        <v>1108208.157184281</v>
      </c>
      <c r="L14" s="5" t="n">
        <v>1108208.157184281</v>
      </c>
      <c r="M14" s="5" t="n">
        <v>1108208.157184281</v>
      </c>
      <c r="N14" s="5" t="n">
        <v>1108208.157184281</v>
      </c>
      <c r="O14" s="5" t="n">
        <v>1108208.157184281</v>
      </c>
      <c r="P14" s="5" t="n">
        <v>1108208.157184281</v>
      </c>
      <c r="Q14" s="5" t="n">
        <v>1108208.157184281</v>
      </c>
      <c r="R14" s="5" t="n">
        <v>1146995.442685731</v>
      </c>
      <c r="S14" s="5" t="n">
        <v>1146995.442685731</v>
      </c>
    </row>
    <row r="15">
      <c r="A15" t="inlineStr">
        <is>
          <t>R&amp;D recruiting</t>
        </is>
      </c>
      <c r="B15" s="5" t="n">
        <v>0</v>
      </c>
      <c r="C15" s="5" t="n">
        <v>37500</v>
      </c>
      <c r="D15" s="5" t="n">
        <v>52500</v>
      </c>
      <c r="E15" s="5" t="n">
        <v>0</v>
      </c>
      <c r="F15" s="5" t="n">
        <v>46500</v>
      </c>
      <c r="G15" s="5" t="n">
        <v>15750</v>
      </c>
      <c r="H15" s="5" t="n">
        <v>28500</v>
      </c>
      <c r="I15" s="5" t="n">
        <v>0</v>
      </c>
      <c r="J15" s="5" t="n">
        <v>24000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</row>
    <row r="16">
      <c r="A16" t="inlineStr">
        <is>
          <t>R&amp;D tooling</t>
        </is>
      </c>
      <c r="B16" s="5" t="n">
        <v>31752</v>
      </c>
      <c r="C16" s="5" t="n">
        <v>32634</v>
      </c>
      <c r="D16" s="5" t="n">
        <v>34398</v>
      </c>
      <c r="E16" s="5" t="n">
        <v>34398</v>
      </c>
      <c r="F16" s="5" t="n">
        <v>35721</v>
      </c>
      <c r="G16" s="5" t="n">
        <v>36162</v>
      </c>
      <c r="H16" s="5" t="n">
        <v>37044</v>
      </c>
      <c r="I16" s="5" t="n">
        <v>37044</v>
      </c>
      <c r="J16" s="5" t="n">
        <v>37926</v>
      </c>
      <c r="K16" s="5" t="n">
        <v>37926</v>
      </c>
      <c r="L16" s="5" t="n">
        <v>37926</v>
      </c>
      <c r="M16" s="5" t="n">
        <v>37926</v>
      </c>
      <c r="N16" s="5" t="n">
        <v>37926</v>
      </c>
      <c r="O16" s="5" t="n">
        <v>37926</v>
      </c>
      <c r="P16" s="5" t="n">
        <v>37926</v>
      </c>
      <c r="Q16" s="5" t="n">
        <v>37926</v>
      </c>
      <c r="R16" s="5" t="n">
        <v>37926</v>
      </c>
      <c r="S16" s="5" t="n">
        <v>37926</v>
      </c>
    </row>
    <row r="17">
      <c r="A17" t="inlineStr">
        <is>
          <t>R&amp;D contractors</t>
        </is>
      </c>
      <c r="B17" s="5" t="n">
        <v>60000</v>
      </c>
      <c r="C17" s="5" t="n">
        <v>60000</v>
      </c>
      <c r="D17" s="5" t="n">
        <v>60000</v>
      </c>
      <c r="E17" s="5" t="n">
        <v>60000</v>
      </c>
      <c r="F17" s="5" t="n">
        <v>60000</v>
      </c>
      <c r="G17" s="5" t="n">
        <v>60000</v>
      </c>
      <c r="H17" s="5" t="n">
        <v>60000</v>
      </c>
      <c r="I17" s="5" t="n">
        <v>60000</v>
      </c>
      <c r="J17" s="5" t="n">
        <v>60000</v>
      </c>
      <c r="K17" s="5" t="n">
        <v>60000</v>
      </c>
      <c r="L17" s="5" t="n">
        <v>60000</v>
      </c>
      <c r="M17" s="5" t="n">
        <v>60000</v>
      </c>
      <c r="N17" s="5" t="n">
        <v>60000</v>
      </c>
      <c r="O17" s="5" t="n">
        <v>60000</v>
      </c>
      <c r="P17" s="5" t="n">
        <v>60000</v>
      </c>
      <c r="Q17" s="5" t="n">
        <v>60000</v>
      </c>
      <c r="R17" s="5" t="n">
        <v>60000</v>
      </c>
      <c r="S17" s="5" t="n">
        <v>60000</v>
      </c>
    </row>
    <row r="18">
      <c r="A18" t="inlineStr">
        <is>
          <t>R&amp;D total</t>
        </is>
      </c>
      <c r="B18" s="6">
        <f>B14+B15+B16+B17</f>
        <v/>
      </c>
      <c r="C18" s="6">
        <f>C14+C15+C16+C17</f>
        <v/>
      </c>
      <c r="D18" s="6">
        <f>D14+D15+D16+D17</f>
        <v/>
      </c>
      <c r="E18" s="6">
        <f>E14+E15+E16+E17</f>
        <v/>
      </c>
      <c r="F18" s="6">
        <f>F14+F15+F16+F17</f>
        <v/>
      </c>
      <c r="G18" s="6">
        <f>G14+G15+G16+G17</f>
        <v/>
      </c>
      <c r="H18" s="6">
        <f>H14+H15+H16+H17</f>
        <v/>
      </c>
      <c r="I18" s="6">
        <f>I14+I15+I16+I17</f>
        <v/>
      </c>
      <c r="J18" s="6">
        <f>J14+J15+J16+J17</f>
        <v/>
      </c>
      <c r="K18" s="6">
        <f>K14+K15+K16+K17</f>
        <v/>
      </c>
      <c r="L18" s="6">
        <f>L14+L15+L16+L17</f>
        <v/>
      </c>
      <c r="M18" s="6">
        <f>M14+M15+M16+M17</f>
        <v/>
      </c>
      <c r="N18" s="6">
        <f>N14+N15+N16+N17</f>
        <v/>
      </c>
      <c r="O18" s="6">
        <f>O14+O15+O16+O17</f>
        <v/>
      </c>
      <c r="P18" s="6">
        <f>P14+P15+P16+P17</f>
        <v/>
      </c>
      <c r="Q18" s="6">
        <f>Q14+Q15+Q16+Q17</f>
        <v/>
      </c>
      <c r="R18" s="6">
        <f>R14+R15+R16+R17</f>
        <v/>
      </c>
      <c r="S18" s="6">
        <f>S14+S15+S16+S17</f>
        <v/>
      </c>
    </row>
    <row r="19">
      <c r="A19" t="inlineStr">
        <is>
          <t>Sales and marketing payroll</t>
        </is>
      </c>
      <c r="B19" s="5" t="n">
        <v>313737.7209094683</v>
      </c>
      <c r="C19" s="5" t="n">
        <v>324742.3042428016</v>
      </c>
      <c r="D19" s="5" t="n">
        <v>324742.3042428016</v>
      </c>
      <c r="E19" s="5" t="n">
        <v>324742.3042428016</v>
      </c>
      <c r="F19" s="5" t="n">
        <v>371122.868224633</v>
      </c>
      <c r="G19" s="5" t="n">
        <v>383978.5082246329</v>
      </c>
      <c r="H19" s="5" t="n">
        <v>383978.5082246329</v>
      </c>
      <c r="I19" s="5" t="n">
        <v>394983.0915579663</v>
      </c>
      <c r="J19" s="5" t="n">
        <v>394983.0915579663</v>
      </c>
      <c r="K19" s="5" t="n">
        <v>394983.0915579663</v>
      </c>
      <c r="L19" s="5" t="n">
        <v>394983.0915579663</v>
      </c>
      <c r="M19" s="5" t="n">
        <v>394983.0915579663</v>
      </c>
      <c r="N19" s="5" t="n">
        <v>394983.0915579663</v>
      </c>
      <c r="O19" s="5" t="n">
        <v>394983.0915579663</v>
      </c>
      <c r="P19" s="5" t="n">
        <v>394983.0915579663</v>
      </c>
      <c r="Q19" s="5" t="n">
        <v>394983.0915579663</v>
      </c>
      <c r="R19" s="5" t="n">
        <v>408807.4997624951</v>
      </c>
      <c r="S19" s="5" t="n">
        <v>408807.4997624951</v>
      </c>
    </row>
    <row r="20">
      <c r="A20" t="inlineStr">
        <is>
          <t>Sales and marketing recruiting</t>
        </is>
      </c>
      <c r="B20" s="5" t="n">
        <v>0</v>
      </c>
      <c r="C20" s="5" t="n">
        <v>16500</v>
      </c>
      <c r="D20" s="5" t="n">
        <v>0</v>
      </c>
      <c r="E20" s="5" t="n">
        <v>0</v>
      </c>
      <c r="F20" s="5" t="n">
        <v>52500</v>
      </c>
      <c r="G20" s="5" t="n">
        <v>18000</v>
      </c>
      <c r="H20" s="5" t="n">
        <v>0</v>
      </c>
      <c r="I20" s="5" t="n">
        <v>16500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</row>
    <row r="21">
      <c r="A21" t="inlineStr">
        <is>
          <t>Sales commission</t>
        </is>
      </c>
      <c r="B21" s="5" t="n">
        <v>42195.8844374101</v>
      </c>
      <c r="C21" s="5" t="n">
        <v>42288.86544793661</v>
      </c>
      <c r="D21" s="5" t="n">
        <v>41529.84084730635</v>
      </c>
      <c r="E21" s="5" t="n">
        <v>47576.31816032543</v>
      </c>
      <c r="F21" s="5" t="n">
        <v>40649.28208039283</v>
      </c>
      <c r="G21" s="5" t="n">
        <v>43996.5188182603</v>
      </c>
      <c r="H21" s="5" t="n">
        <v>49692.6546928469</v>
      </c>
      <c r="I21" s="5" t="n">
        <v>46069.88519259763</v>
      </c>
      <c r="J21" s="5" t="n">
        <v>49243.12228744256</v>
      </c>
      <c r="K21" s="5" t="n">
        <v>53263.83103186474</v>
      </c>
      <c r="L21" s="5" t="n">
        <v>45299.11173104508</v>
      </c>
      <c r="M21" s="5" t="n">
        <v>45807.36979813669</v>
      </c>
      <c r="N21" s="5" t="n">
        <v>52919.50932593148</v>
      </c>
      <c r="O21" s="5" t="n">
        <v>53060.48888456431</v>
      </c>
      <c r="P21" s="5" t="n">
        <v>51446.64173400712</v>
      </c>
      <c r="Q21" s="5" t="n">
        <v>58590.50143732718</v>
      </c>
      <c r="R21" s="5" t="n">
        <v>49186.29713877515</v>
      </c>
      <c r="S21" s="5" t="n">
        <v>51602.51717008167</v>
      </c>
    </row>
    <row r="22">
      <c r="A22" t="inlineStr">
        <is>
          <t>Marketing programmes</t>
        </is>
      </c>
      <c r="B22" s="5" t="n">
        <v>242550</v>
      </c>
      <c r="C22" s="5" t="n">
        <v>242550</v>
      </c>
      <c r="D22" s="5" t="n">
        <v>235125</v>
      </c>
      <c r="E22" s="5" t="n">
        <v>287100</v>
      </c>
      <c r="F22" s="5" t="n">
        <v>219037.5</v>
      </c>
      <c r="G22" s="5" t="n">
        <v>242962.5</v>
      </c>
      <c r="H22" s="5" t="n">
        <v>290400</v>
      </c>
      <c r="I22" s="5" t="n">
        <v>258637.5</v>
      </c>
      <c r="J22" s="5" t="n">
        <v>284625</v>
      </c>
      <c r="K22" s="5" t="n">
        <v>317625</v>
      </c>
      <c r="L22" s="5" t="n">
        <v>248943.75</v>
      </c>
      <c r="M22" s="5" t="n">
        <v>252450</v>
      </c>
      <c r="N22" s="5" t="n">
        <v>311850.0000000001</v>
      </c>
      <c r="O22" s="5" t="n">
        <v>311850.0000000001</v>
      </c>
      <c r="P22" s="5" t="n">
        <v>297000</v>
      </c>
      <c r="Q22" s="5" t="n">
        <v>356399.9999999999</v>
      </c>
      <c r="R22" s="5" t="n">
        <v>267300</v>
      </c>
      <c r="S22" s="5" t="n">
        <v>282149.9999999999</v>
      </c>
    </row>
    <row r="23">
      <c r="A23" t="inlineStr">
        <is>
          <t>Sales and marketing total</t>
        </is>
      </c>
      <c r="B23" s="6">
        <f>B19+B20+B21+B22</f>
        <v/>
      </c>
      <c r="C23" s="6">
        <f>C19+C20+C21+C22</f>
        <v/>
      </c>
      <c r="D23" s="6">
        <f>D19+D20+D21+D22</f>
        <v/>
      </c>
      <c r="E23" s="6">
        <f>E19+E20+E21+E22</f>
        <v/>
      </c>
      <c r="F23" s="6">
        <f>F19+F20+F21+F22</f>
        <v/>
      </c>
      <c r="G23" s="6">
        <f>G19+G20+G21+G22</f>
        <v/>
      </c>
      <c r="H23" s="6">
        <f>H19+H20+H21+H22</f>
        <v/>
      </c>
      <c r="I23" s="6">
        <f>I19+I20+I21+I22</f>
        <v/>
      </c>
      <c r="J23" s="6">
        <f>J19+J20+J21+J22</f>
        <v/>
      </c>
      <c r="K23" s="6">
        <f>K19+K20+K21+K22</f>
        <v/>
      </c>
      <c r="L23" s="6">
        <f>L19+L20+L21+L22</f>
        <v/>
      </c>
      <c r="M23" s="6">
        <f>M19+M20+M21+M22</f>
        <v/>
      </c>
      <c r="N23" s="6">
        <f>N19+N20+N21+N22</f>
        <v/>
      </c>
      <c r="O23" s="6">
        <f>O19+O20+O21+O22</f>
        <v/>
      </c>
      <c r="P23" s="6">
        <f>P19+P20+P21+P22</f>
        <v/>
      </c>
      <c r="Q23" s="6">
        <f>Q19+Q20+Q21+Q22</f>
        <v/>
      </c>
      <c r="R23" s="6">
        <f>R19+R20+R21+R22</f>
        <v/>
      </c>
      <c r="S23" s="6">
        <f>S19+S20+S21+S22</f>
        <v/>
      </c>
    </row>
    <row r="24">
      <c r="A24" t="inlineStr">
        <is>
          <t>G&amp;A payroll</t>
        </is>
      </c>
      <c r="B24" s="5" t="n">
        <v>247823.6641526933</v>
      </c>
      <c r="C24" s="5" t="n">
        <v>247823.6641526933</v>
      </c>
      <c r="D24" s="5" t="n">
        <v>247823.6641526933</v>
      </c>
      <c r="E24" s="5" t="n">
        <v>247823.6641526933</v>
      </c>
      <c r="F24" s="5" t="n">
        <v>265749.6723980375</v>
      </c>
      <c r="G24" s="5" t="n">
        <v>265749.6723980375</v>
      </c>
      <c r="H24" s="5" t="n">
        <v>265749.6723980375</v>
      </c>
      <c r="I24" s="5" t="n">
        <v>265749.6723980375</v>
      </c>
      <c r="J24" s="5" t="n">
        <v>265749.6723980375</v>
      </c>
      <c r="K24" s="5" t="n">
        <v>265749.6723980375</v>
      </c>
      <c r="L24" s="5" t="n">
        <v>265749.6723980375</v>
      </c>
      <c r="M24" s="5" t="n">
        <v>265749.6723980375</v>
      </c>
      <c r="N24" s="5" t="n">
        <v>265749.6723980375</v>
      </c>
      <c r="O24" s="5" t="n">
        <v>265749.6723980375</v>
      </c>
      <c r="P24" s="5" t="n">
        <v>265749.6723980375</v>
      </c>
      <c r="Q24" s="5" t="n">
        <v>265749.6723980375</v>
      </c>
      <c r="R24" s="5" t="n">
        <v>275050.9109319688</v>
      </c>
      <c r="S24" s="5" t="n">
        <v>275050.9109319688</v>
      </c>
    </row>
    <row r="25">
      <c r="A25" t="inlineStr">
        <is>
          <t>G&amp;A recruiting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13500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</row>
    <row r="26">
      <c r="A26" t="inlineStr">
        <is>
          <t>Rent</t>
        </is>
      </c>
      <c r="B26" s="5" t="n">
        <v>68600</v>
      </c>
      <c r="C26" s="5" t="n">
        <v>69972</v>
      </c>
      <c r="D26" s="5" t="n">
        <v>72030</v>
      </c>
      <c r="E26" s="5" t="n">
        <v>72030</v>
      </c>
      <c r="F26" s="5" t="n">
        <v>76048</v>
      </c>
      <c r="G26" s="5" t="n">
        <v>77126</v>
      </c>
      <c r="H26" s="5" t="n">
        <v>78008</v>
      </c>
      <c r="I26" s="5" t="n">
        <v>78498</v>
      </c>
      <c r="J26" s="5" t="n">
        <v>79674</v>
      </c>
      <c r="K26" s="5" t="n">
        <v>79674</v>
      </c>
      <c r="L26" s="5" t="n">
        <v>79674</v>
      </c>
      <c r="M26" s="5" t="n">
        <v>79674</v>
      </c>
      <c r="N26" s="5" t="n">
        <v>79674</v>
      </c>
      <c r="O26" s="5" t="n">
        <v>79674</v>
      </c>
      <c r="P26" s="5" t="n">
        <v>79674</v>
      </c>
      <c r="Q26" s="5" t="n">
        <v>79674</v>
      </c>
      <c r="R26" s="5" t="n">
        <v>79674</v>
      </c>
      <c r="S26" s="5" t="n">
        <v>79674</v>
      </c>
    </row>
    <row r="27">
      <c r="A27" t="inlineStr">
        <is>
          <t>Software seats</t>
        </is>
      </c>
      <c r="B27" s="5" t="n">
        <v>25048.8</v>
      </c>
      <c r="C27" s="5" t="n">
        <v>25578</v>
      </c>
      <c r="D27" s="5" t="n">
        <v>26283.6</v>
      </c>
      <c r="E27" s="5" t="n">
        <v>26283.6</v>
      </c>
      <c r="F27" s="5" t="n">
        <v>27694.8</v>
      </c>
      <c r="G27" s="5" t="n">
        <v>28047.6</v>
      </c>
      <c r="H27" s="5" t="n">
        <v>28400.4</v>
      </c>
      <c r="I27" s="5" t="n">
        <v>28576.8</v>
      </c>
      <c r="J27" s="5" t="n">
        <v>28929.6</v>
      </c>
      <c r="K27" s="5" t="n">
        <v>28929.6</v>
      </c>
      <c r="L27" s="5" t="n">
        <v>28929.6</v>
      </c>
      <c r="M27" s="5" t="n">
        <v>28929.6</v>
      </c>
      <c r="N27" s="5" t="n">
        <v>28929.6</v>
      </c>
      <c r="O27" s="5" t="n">
        <v>28929.6</v>
      </c>
      <c r="P27" s="5" t="n">
        <v>28929.6</v>
      </c>
      <c r="Q27" s="5" t="n">
        <v>28929.6</v>
      </c>
      <c r="R27" s="5" t="n">
        <v>28929.6</v>
      </c>
      <c r="S27" s="5" t="n">
        <v>28929.6</v>
      </c>
    </row>
    <row r="28">
      <c r="A28" t="inlineStr">
        <is>
          <t>Fixed G&amp;A</t>
        </is>
      </c>
      <c r="B28" s="5" t="n">
        <v>75000</v>
      </c>
      <c r="C28" s="5" t="n">
        <v>75000</v>
      </c>
      <c r="D28" s="5" t="n">
        <v>75000</v>
      </c>
      <c r="E28" s="5" t="n">
        <v>75000</v>
      </c>
      <c r="F28" s="5" t="n">
        <v>75000</v>
      </c>
      <c r="G28" s="5" t="n">
        <v>75000</v>
      </c>
      <c r="H28" s="5" t="n">
        <v>75000</v>
      </c>
      <c r="I28" s="5" t="n">
        <v>75000</v>
      </c>
      <c r="J28" s="5" t="n">
        <v>75000</v>
      </c>
      <c r="K28" s="5" t="n">
        <v>75000</v>
      </c>
      <c r="L28" s="5" t="n">
        <v>75000</v>
      </c>
      <c r="M28" s="5" t="n">
        <v>75000</v>
      </c>
      <c r="N28" s="5" t="n">
        <v>75000</v>
      </c>
      <c r="O28" s="5" t="n">
        <v>75000</v>
      </c>
      <c r="P28" s="5" t="n">
        <v>75000</v>
      </c>
      <c r="Q28" s="5" t="n">
        <v>75000</v>
      </c>
      <c r="R28" s="5" t="n">
        <v>75000</v>
      </c>
      <c r="S28" s="5" t="n">
        <v>75000</v>
      </c>
    </row>
    <row r="29">
      <c r="A29" t="inlineStr">
        <is>
          <t>G&amp;A total</t>
        </is>
      </c>
      <c r="B29" s="6">
        <f>B24+B25+B26+B27+B28</f>
        <v/>
      </c>
      <c r="C29" s="6">
        <f>C24+C25+C26+C27+C28</f>
        <v/>
      </c>
      <c r="D29" s="6">
        <f>D24+D25+D26+D27+D28</f>
        <v/>
      </c>
      <c r="E29" s="6">
        <f>E24+E25+E26+E27+E28</f>
        <v/>
      </c>
      <c r="F29" s="6">
        <f>F24+F25+F26+F27+F28</f>
        <v/>
      </c>
      <c r="G29" s="6">
        <f>G24+G25+G26+G27+G28</f>
        <v/>
      </c>
      <c r="H29" s="6">
        <f>H24+H25+H26+H27+H28</f>
        <v/>
      </c>
      <c r="I29" s="6">
        <f>I24+I25+I26+I27+I28</f>
        <v/>
      </c>
      <c r="J29" s="6">
        <f>J24+J25+J26+J27+J28</f>
        <v/>
      </c>
      <c r="K29" s="6">
        <f>K24+K25+K26+K27+K28</f>
        <v/>
      </c>
      <c r="L29" s="6">
        <f>L24+L25+L26+L27+L28</f>
        <v/>
      </c>
      <c r="M29" s="6">
        <f>M24+M25+M26+M27+M28</f>
        <v/>
      </c>
      <c r="N29" s="6">
        <f>N24+N25+N26+N27+N28</f>
        <v/>
      </c>
      <c r="O29" s="6">
        <f>O24+O25+O26+O27+O28</f>
        <v/>
      </c>
      <c r="P29" s="6">
        <f>P24+P25+P26+P27+P28</f>
        <v/>
      </c>
      <c r="Q29" s="6">
        <f>Q24+Q25+Q26+Q27+Q28</f>
        <v/>
      </c>
      <c r="R29" s="6">
        <f>R24+R25+R26+R27+R28</f>
        <v/>
      </c>
      <c r="S29" s="6">
        <f>S24+S25+S26+S27+S28</f>
        <v/>
      </c>
    </row>
    <row r="30">
      <c r="A30" t="inlineStr">
        <is>
          <t>Operating expenses</t>
        </is>
      </c>
      <c r="B30" s="6">
        <f>B18+B23+B29</f>
        <v/>
      </c>
      <c r="C30" s="6">
        <f>C18+C23+C29</f>
        <v/>
      </c>
      <c r="D30" s="6">
        <f>D18+D23+D29</f>
        <v/>
      </c>
      <c r="E30" s="6">
        <f>E18+E23+E29</f>
        <v/>
      </c>
      <c r="F30" s="6">
        <f>F18+F23+F29</f>
        <v/>
      </c>
      <c r="G30" s="6">
        <f>G18+G23+G29</f>
        <v/>
      </c>
      <c r="H30" s="6">
        <f>H18+H23+H29</f>
        <v/>
      </c>
      <c r="I30" s="6">
        <f>I18+I23+I29</f>
        <v/>
      </c>
      <c r="J30" s="6">
        <f>J18+J23+J29</f>
        <v/>
      </c>
      <c r="K30" s="6">
        <f>K18+K23+K29</f>
        <v/>
      </c>
      <c r="L30" s="6">
        <f>L18+L23+L29</f>
        <v/>
      </c>
      <c r="M30" s="6">
        <f>M18+M23+M29</f>
        <v/>
      </c>
      <c r="N30" s="6">
        <f>N18+N23+N29</f>
        <v/>
      </c>
      <c r="O30" s="6">
        <f>O18+O23+O29</f>
        <v/>
      </c>
      <c r="P30" s="6">
        <f>P18+P23+P29</f>
        <v/>
      </c>
      <c r="Q30" s="6">
        <f>Q18+Q23+Q29</f>
        <v/>
      </c>
      <c r="R30" s="6">
        <f>R18+R23+R29</f>
        <v/>
      </c>
      <c r="S30" s="6">
        <f>S18+S23+S29</f>
        <v/>
      </c>
    </row>
    <row r="31">
      <c r="A31" t="inlineStr">
        <is>
          <t>EBITDA</t>
        </is>
      </c>
      <c r="B31" s="6">
        <f>B12-B30</f>
        <v/>
      </c>
      <c r="C31" s="6">
        <f>C12-C30</f>
        <v/>
      </c>
      <c r="D31" s="6">
        <f>D12-D30</f>
        <v/>
      </c>
      <c r="E31" s="6">
        <f>E12-E30</f>
        <v/>
      </c>
      <c r="F31" s="6">
        <f>F12-F30</f>
        <v/>
      </c>
      <c r="G31" s="6">
        <f>G12-G30</f>
        <v/>
      </c>
      <c r="H31" s="6">
        <f>H12-H30</f>
        <v/>
      </c>
      <c r="I31" s="6">
        <f>I12-I30</f>
        <v/>
      </c>
      <c r="J31" s="6">
        <f>J12-J30</f>
        <v/>
      </c>
      <c r="K31" s="6">
        <f>K12-K30</f>
        <v/>
      </c>
      <c r="L31" s="6">
        <f>L12-L30</f>
        <v/>
      </c>
      <c r="M31" s="6">
        <f>M12-M30</f>
        <v/>
      </c>
      <c r="N31" s="6">
        <f>N12-N30</f>
        <v/>
      </c>
      <c r="O31" s="6">
        <f>O12-O30</f>
        <v/>
      </c>
      <c r="P31" s="6">
        <f>P12-P30</f>
        <v/>
      </c>
      <c r="Q31" s="6">
        <f>Q12-Q30</f>
        <v/>
      </c>
      <c r="R31" s="6">
        <f>R12-R30</f>
        <v/>
      </c>
      <c r="S31" s="6">
        <f>S12-S30</f>
        <v/>
      </c>
    </row>
    <row r="32">
      <c r="A32" t="inlineStr">
        <is>
          <t>EBITDA margin</t>
        </is>
      </c>
      <c r="B32" s="7">
        <f>IF(B5=0,0,B31/B5)</f>
        <v/>
      </c>
      <c r="C32" s="7">
        <f>IF(C5=0,0,C31/C5)</f>
        <v/>
      </c>
      <c r="D32" s="7">
        <f>IF(D5=0,0,D31/D5)</f>
        <v/>
      </c>
      <c r="E32" s="7">
        <f>IF(E5=0,0,E31/E5)</f>
        <v/>
      </c>
      <c r="F32" s="7">
        <f>IF(F5=0,0,F31/F5)</f>
        <v/>
      </c>
      <c r="G32" s="7">
        <f>IF(G5=0,0,G31/G5)</f>
        <v/>
      </c>
      <c r="H32" s="7">
        <f>IF(H5=0,0,H31/H5)</f>
        <v/>
      </c>
      <c r="I32" s="7">
        <f>IF(I5=0,0,I31/I5)</f>
        <v/>
      </c>
      <c r="J32" s="7">
        <f>IF(J5=0,0,J31/J5)</f>
        <v/>
      </c>
      <c r="K32" s="7">
        <f>IF(K5=0,0,K31/K5)</f>
        <v/>
      </c>
      <c r="L32" s="7">
        <f>IF(L5=0,0,L31/L5)</f>
        <v/>
      </c>
      <c r="M32" s="7">
        <f>IF(M5=0,0,M31/M5)</f>
        <v/>
      </c>
      <c r="N32" s="7">
        <f>IF(N5=0,0,N31/N5)</f>
        <v/>
      </c>
      <c r="O32" s="7">
        <f>IF(O5=0,0,O31/O5)</f>
        <v/>
      </c>
      <c r="P32" s="7">
        <f>IF(P5=0,0,P31/P5)</f>
        <v/>
      </c>
      <c r="Q32" s="7">
        <f>IF(Q5=0,0,Q31/Q5)</f>
        <v/>
      </c>
      <c r="R32" s="7">
        <f>IF(R5=0,0,R31/R5)</f>
        <v/>
      </c>
      <c r="S32" s="7">
        <f>IF(S5=0,0,S31/S5)</f>
        <v/>
      </c>
    </row>
    <row r="33">
      <c r="A33" t="inlineStr">
        <is>
          <t>FTE total</t>
        </is>
      </c>
      <c r="B33" s="8" t="n">
        <v>139.16</v>
      </c>
      <c r="C33" s="8" t="n">
        <v>142.1</v>
      </c>
      <c r="D33" s="8" t="n">
        <v>146.02</v>
      </c>
      <c r="E33" s="8" t="n">
        <v>146.02</v>
      </c>
      <c r="F33" s="8" t="n">
        <v>153.86</v>
      </c>
      <c r="G33" s="8" t="n">
        <v>155.82</v>
      </c>
      <c r="H33" s="8" t="n">
        <v>157.78</v>
      </c>
      <c r="I33" s="8" t="n">
        <v>158.76</v>
      </c>
      <c r="J33" s="8" t="n">
        <v>160.72</v>
      </c>
      <c r="K33" s="8" t="n">
        <v>160.72</v>
      </c>
      <c r="L33" s="8" t="n">
        <v>160.72</v>
      </c>
      <c r="M33" s="8" t="n">
        <v>160.72</v>
      </c>
      <c r="N33" s="8" t="n">
        <v>160.72</v>
      </c>
      <c r="O33" s="8" t="n">
        <v>160.72</v>
      </c>
      <c r="P33" s="8" t="n">
        <v>160.72</v>
      </c>
      <c r="Q33" s="8" t="n">
        <v>160.72</v>
      </c>
      <c r="R33" s="8" t="n">
        <v>160.72</v>
      </c>
      <c r="S33" s="8" t="n">
        <v>160.72</v>
      </c>
    </row>
    <row r="34">
      <c r="A34" t="inlineStr">
        <is>
          <t>FTE customer operations</t>
        </is>
      </c>
      <c r="B34" s="8" t="n">
        <v>26.46</v>
      </c>
      <c r="C34" s="8" t="n">
        <v>26.46</v>
      </c>
      <c r="D34" s="8" t="n">
        <v>26.46</v>
      </c>
      <c r="E34" s="8" t="n">
        <v>26.46</v>
      </c>
      <c r="F34" s="8" t="n">
        <v>26.46</v>
      </c>
      <c r="G34" s="8" t="n">
        <v>26.46</v>
      </c>
      <c r="H34" s="8" t="n">
        <v>26.46</v>
      </c>
      <c r="I34" s="8" t="n">
        <v>26.46</v>
      </c>
      <c r="J34" s="8" t="n">
        <v>26.46</v>
      </c>
      <c r="K34" s="8" t="n">
        <v>26.46</v>
      </c>
      <c r="L34" s="8" t="n">
        <v>26.46</v>
      </c>
      <c r="M34" s="8" t="n">
        <v>26.46</v>
      </c>
      <c r="N34" s="8" t="n">
        <v>26.46</v>
      </c>
      <c r="O34" s="8" t="n">
        <v>26.46</v>
      </c>
      <c r="P34" s="8" t="n">
        <v>26.46</v>
      </c>
      <c r="Q34" s="8" t="n">
        <v>26.46</v>
      </c>
      <c r="R34" s="8" t="n">
        <v>26.46</v>
      </c>
      <c r="S34" s="8" t="n">
        <v>26.46</v>
      </c>
    </row>
    <row r="35">
      <c r="A35" t="inlineStr">
        <is>
          <t>FTE R&amp;D</t>
        </is>
      </c>
      <c r="B35" s="8" t="n">
        <v>70.56</v>
      </c>
      <c r="C35" s="8" t="n">
        <v>72.52</v>
      </c>
      <c r="D35" s="8" t="n">
        <v>76.44</v>
      </c>
      <c r="E35" s="8" t="n">
        <v>76.44</v>
      </c>
      <c r="F35" s="8" t="n">
        <v>79.38</v>
      </c>
      <c r="G35" s="8" t="n">
        <v>80.36</v>
      </c>
      <c r="H35" s="8" t="n">
        <v>82.31999999999999</v>
      </c>
      <c r="I35" s="8" t="n">
        <v>82.31999999999999</v>
      </c>
      <c r="J35" s="8" t="n">
        <v>84.28</v>
      </c>
      <c r="K35" s="8" t="n">
        <v>84.28</v>
      </c>
      <c r="L35" s="8" t="n">
        <v>84.28</v>
      </c>
      <c r="M35" s="8" t="n">
        <v>84.28</v>
      </c>
      <c r="N35" s="8" t="n">
        <v>84.28</v>
      </c>
      <c r="O35" s="8" t="n">
        <v>84.28</v>
      </c>
      <c r="P35" s="8" t="n">
        <v>84.28</v>
      </c>
      <c r="Q35" s="8" t="n">
        <v>84.28</v>
      </c>
      <c r="R35" s="8" t="n">
        <v>84.28</v>
      </c>
      <c r="S35" s="8" t="n">
        <v>84.28</v>
      </c>
    </row>
    <row r="36">
      <c r="A36" t="inlineStr">
        <is>
          <t>FTE sales and marketing</t>
        </is>
      </c>
      <c r="B36" s="8" t="n">
        <v>27.44</v>
      </c>
      <c r="C36" s="8" t="n">
        <v>28.42</v>
      </c>
      <c r="D36" s="8" t="n">
        <v>28.42</v>
      </c>
      <c r="E36" s="8" t="n">
        <v>28.42</v>
      </c>
      <c r="F36" s="8" t="n">
        <v>32.34</v>
      </c>
      <c r="G36" s="8" t="n">
        <v>33.32</v>
      </c>
      <c r="H36" s="8" t="n">
        <v>33.32</v>
      </c>
      <c r="I36" s="8" t="n">
        <v>34.3</v>
      </c>
      <c r="J36" s="8" t="n">
        <v>34.3</v>
      </c>
      <c r="K36" s="8" t="n">
        <v>34.3</v>
      </c>
      <c r="L36" s="8" t="n">
        <v>34.3</v>
      </c>
      <c r="M36" s="8" t="n">
        <v>34.3</v>
      </c>
      <c r="N36" s="8" t="n">
        <v>34.3</v>
      </c>
      <c r="O36" s="8" t="n">
        <v>34.3</v>
      </c>
      <c r="P36" s="8" t="n">
        <v>34.3</v>
      </c>
      <c r="Q36" s="8" t="n">
        <v>34.3</v>
      </c>
      <c r="R36" s="8" t="n">
        <v>34.3</v>
      </c>
      <c r="S36" s="8" t="n">
        <v>34.3</v>
      </c>
    </row>
    <row r="37">
      <c r="A37" t="inlineStr">
        <is>
          <t>FTE G&amp;A</t>
        </is>
      </c>
      <c r="B37" s="8" t="n">
        <v>14.7</v>
      </c>
      <c r="C37" s="8" t="n">
        <v>14.7</v>
      </c>
      <c r="D37" s="8" t="n">
        <v>14.7</v>
      </c>
      <c r="E37" s="8" t="n">
        <v>14.7</v>
      </c>
      <c r="F37" s="8" t="n">
        <v>15.68</v>
      </c>
      <c r="G37" s="8" t="n">
        <v>15.68</v>
      </c>
      <c r="H37" s="8" t="n">
        <v>15.68</v>
      </c>
      <c r="I37" s="8" t="n">
        <v>15.68</v>
      </c>
      <c r="J37" s="8" t="n">
        <v>15.68</v>
      </c>
      <c r="K37" s="8" t="n">
        <v>15.68</v>
      </c>
      <c r="L37" s="8" t="n">
        <v>15.68</v>
      </c>
      <c r="M37" s="8" t="n">
        <v>15.68</v>
      </c>
      <c r="N37" s="8" t="n">
        <v>15.68</v>
      </c>
      <c r="O37" s="8" t="n">
        <v>15.68</v>
      </c>
      <c r="P37" s="8" t="n">
        <v>15.68</v>
      </c>
      <c r="Q37" s="8" t="n">
        <v>15.68</v>
      </c>
      <c r="R37" s="8" t="n">
        <v>15.68</v>
      </c>
      <c r="S37" s="8" t="n">
        <v>15.68</v>
      </c>
    </row>
    <row r="38">
      <c r="A38" t="inlineStr">
        <is>
          <t>Total ARR (closing)</t>
        </is>
      </c>
      <c r="B38" s="5" t="n">
        <v>24424224.75251468</v>
      </c>
      <c r="C38" s="5" t="n">
        <v>24595745.66999673</v>
      </c>
      <c r="D38" s="5" t="n">
        <v>24757257.50782751</v>
      </c>
      <c r="E38" s="5" t="n">
        <v>24983990.30032841</v>
      </c>
      <c r="F38" s="5" t="n">
        <v>25817372.50817936</v>
      </c>
      <c r="G38" s="5" t="n">
        <v>25991055.30959892</v>
      </c>
      <c r="H38" s="5" t="n">
        <v>26226015.12904654</v>
      </c>
      <c r="I38" s="5" t="n">
        <v>26430915.65878377</v>
      </c>
      <c r="J38" s="5" t="n">
        <v>26669321.05492144</v>
      </c>
      <c r="K38" s="5" t="n">
        <v>26950386.36076112</v>
      </c>
      <c r="L38" s="5" t="n">
        <v>27140460.26279732</v>
      </c>
      <c r="M38" s="5" t="n">
        <v>27334694.7476528</v>
      </c>
      <c r="N38" s="5" t="n">
        <v>27606787.81467542</v>
      </c>
      <c r="O38" s="5" t="n">
        <v>27878179.52633869</v>
      </c>
      <c r="P38" s="5" t="n">
        <v>28129229.79864178</v>
      </c>
      <c r="Q38" s="5" t="n">
        <v>28458402.01361623</v>
      </c>
      <c r="R38" s="5" t="n">
        <v>29451824.39122632</v>
      </c>
      <c r="S38" s="5" t="n">
        <v>29686367.20881747</v>
      </c>
    </row>
    <row r="39">
      <c r="A39" s="2" t="inlineStr">
        <is>
          <t>Shaded yellow: values from the model. Shaded blue: Excel formulas.</t>
        </is>
      </c>
    </row>
    <row r="41">
      <c r="A41" s="1" t="inlineStr">
        <is>
          <t>Plan downside: ARR roll-forward</t>
        </is>
      </c>
    </row>
    <row r="42">
      <c r="A42" s="2" t="inlineStr">
        <is>
          <t>USD, monthly</t>
        </is>
      </c>
      <c r="B42" s="4" t="inlineStr">
        <is>
          <t>2026-09</t>
        </is>
      </c>
      <c r="C42" s="4" t="inlineStr">
        <is>
          <t>2026-10</t>
        </is>
      </c>
      <c r="D42" s="4" t="inlineStr">
        <is>
          <t>2026-11</t>
        </is>
      </c>
      <c r="E42" s="4" t="inlineStr">
        <is>
          <t>2026-12</t>
        </is>
      </c>
      <c r="F42" s="4" t="inlineStr">
        <is>
          <t>2027-01</t>
        </is>
      </c>
      <c r="G42" s="4" t="inlineStr">
        <is>
          <t>2027-02</t>
        </is>
      </c>
      <c r="H42" s="4" t="inlineStr">
        <is>
          <t>2027-03</t>
        </is>
      </c>
      <c r="I42" s="4" t="inlineStr">
        <is>
          <t>2027-04</t>
        </is>
      </c>
      <c r="J42" s="4" t="inlineStr">
        <is>
          <t>2027-05</t>
        </is>
      </c>
      <c r="K42" s="4" t="inlineStr">
        <is>
          <t>2027-06</t>
        </is>
      </c>
      <c r="L42" s="4" t="inlineStr">
        <is>
          <t>2027-07</t>
        </is>
      </c>
      <c r="M42" s="4" t="inlineStr">
        <is>
          <t>2027-08</t>
        </is>
      </c>
      <c r="N42" s="4" t="inlineStr">
        <is>
          <t>2027-09</t>
        </is>
      </c>
      <c r="O42" s="4" t="inlineStr">
        <is>
          <t>2027-10</t>
        </is>
      </c>
      <c r="P42" s="4" t="inlineStr">
        <is>
          <t>2027-11</t>
        </is>
      </c>
      <c r="Q42" s="4" t="inlineStr">
        <is>
          <t>2027-12</t>
        </is>
      </c>
      <c r="R42" s="4" t="inlineStr">
        <is>
          <t>2028-01</t>
        </is>
      </c>
      <c r="S42" s="4" t="inlineStr">
        <is>
          <t>2028-02</t>
        </is>
      </c>
    </row>
    <row r="43">
      <c r="A43" t="inlineStr">
        <is>
          <t>Opening Platform ARR</t>
        </is>
      </c>
      <c r="B43" s="5" t="n">
        <v>22261073.29549041</v>
      </c>
      <c r="C43" s="5" t="n">
        <v>22404993.12670926</v>
      </c>
      <c r="D43" s="5" t="n">
        <v>22548045.22092888</v>
      </c>
      <c r="E43" s="5" t="n">
        <v>22681720.36000294</v>
      </c>
      <c r="F43" s="5" t="n">
        <v>22874190.68048274</v>
      </c>
      <c r="G43" s="5" t="n">
        <v>23681212.42177126</v>
      </c>
      <c r="H43" s="5" t="n">
        <v>23825401.17345101</v>
      </c>
      <c r="I43" s="5" t="n">
        <v>24024750.37797722</v>
      </c>
      <c r="J43" s="5" t="n">
        <v>24185382.03198659</v>
      </c>
      <c r="K43" s="5" t="n">
        <v>24375739.78051878</v>
      </c>
      <c r="L43" s="5" t="n">
        <v>24603927.06354229</v>
      </c>
      <c r="M43" s="5" t="n">
        <v>24749617.11276467</v>
      </c>
      <c r="N43" s="5" t="n">
        <v>24898570.08567313</v>
      </c>
      <c r="O43" s="5" t="n">
        <v>25116784.04322055</v>
      </c>
      <c r="P43" s="5" t="n">
        <v>25333682.3215936</v>
      </c>
      <c r="Q43" s="5" t="n">
        <v>25531733.08642732</v>
      </c>
      <c r="R43" s="5" t="n">
        <v>25798748.81018712</v>
      </c>
      <c r="S43" s="5" t="n">
        <v>26742349.95037549</v>
      </c>
    </row>
    <row r="44">
      <c r="A44" t="inlineStr">
        <is>
          <t>New ARR</t>
        </is>
      </c>
      <c r="B44" s="5" t="n">
        <v>278138.7000000001</v>
      </c>
      <c r="C44" s="5" t="n">
        <v>278138.7000000001</v>
      </c>
      <c r="D44" s="5" t="n">
        <v>269624.2500000001</v>
      </c>
      <c r="E44" s="5" t="n">
        <v>329225.4</v>
      </c>
      <c r="F44" s="5" t="n">
        <v>258711.5632500001</v>
      </c>
      <c r="G44" s="5" t="n">
        <v>286970.0767500001</v>
      </c>
      <c r="H44" s="5" t="n">
        <v>342999.8880000001</v>
      </c>
      <c r="I44" s="5" t="n">
        <v>305484.2752500001</v>
      </c>
      <c r="J44" s="5" t="n">
        <v>336178.8675000001</v>
      </c>
      <c r="K44" s="5" t="n">
        <v>375156.1275000001</v>
      </c>
      <c r="L44" s="5" t="n">
        <v>294034.7051250001</v>
      </c>
      <c r="M44" s="5" t="n">
        <v>298176.039</v>
      </c>
      <c r="N44" s="5" t="n">
        <v>368335.1070000001</v>
      </c>
      <c r="O44" s="5" t="n">
        <v>368335.1070000001</v>
      </c>
      <c r="P44" s="5" t="n">
        <v>350795.3400000001</v>
      </c>
      <c r="Q44" s="5" t="n">
        <v>420954.4080000001</v>
      </c>
      <c r="R44" s="5" t="n">
        <v>325187.2801800001</v>
      </c>
      <c r="S44" s="5" t="n">
        <v>343253.2401900001</v>
      </c>
    </row>
    <row r="45">
      <c r="A45" t="inlineStr">
        <is>
          <t>Expansion ARR</t>
        </is>
      </c>
      <c r="B45" s="5" t="n">
        <v>143820.144374101</v>
      </c>
      <c r="C45" s="5" t="n">
        <v>144749.954479366</v>
      </c>
      <c r="D45" s="5" t="n">
        <v>145674.1584730634</v>
      </c>
      <c r="E45" s="5" t="n">
        <v>146537.7816032543</v>
      </c>
      <c r="F45" s="5" t="n">
        <v>147781.2575539283</v>
      </c>
      <c r="G45" s="5" t="n">
        <v>152995.1114326029</v>
      </c>
      <c r="H45" s="5" t="n">
        <v>153926.6589284689</v>
      </c>
      <c r="I45" s="5" t="n">
        <v>155214.5766759762</v>
      </c>
      <c r="J45" s="5" t="n">
        <v>156252.3553744255</v>
      </c>
      <c r="K45" s="5" t="n">
        <v>157482.1828186473</v>
      </c>
      <c r="L45" s="5" t="n">
        <v>158956.4121854507</v>
      </c>
      <c r="M45" s="5" t="n">
        <v>159897.6589813668</v>
      </c>
      <c r="N45" s="5" t="n">
        <v>160859.9862593146</v>
      </c>
      <c r="O45" s="5" t="n">
        <v>162269.781845643</v>
      </c>
      <c r="P45" s="5" t="n">
        <v>163671.0773400711</v>
      </c>
      <c r="Q45" s="5" t="n">
        <v>164950.6063732717</v>
      </c>
      <c r="R45" s="5" t="n">
        <v>166675.6912077513</v>
      </c>
      <c r="S45" s="5" t="n">
        <v>172771.9315108166</v>
      </c>
    </row>
    <row r="46">
      <c r="A46" t="inlineStr">
        <is>
          <t>Price ARR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686225.7204144821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773962.4643056137</v>
      </c>
      <c r="S46" s="5" t="n">
        <v>0</v>
      </c>
    </row>
    <row r="47">
      <c r="A47" t="inlineStr">
        <is>
          <t>Churned ARR</t>
        </is>
      </c>
      <c r="B47" s="5" t="n">
        <v>-278039.0131552432</v>
      </c>
      <c r="C47" s="5" t="n">
        <v>-279836.5602597517</v>
      </c>
      <c r="D47" s="5" t="n">
        <v>-281623.2693990038</v>
      </c>
      <c r="E47" s="5" t="n">
        <v>-283292.8611234545</v>
      </c>
      <c r="F47" s="5" t="n">
        <v>-285696.7999298875</v>
      </c>
      <c r="G47" s="5" t="n">
        <v>-295776.4365028528</v>
      </c>
      <c r="H47" s="5" t="n">
        <v>-297577.3424022663</v>
      </c>
      <c r="I47" s="5" t="n">
        <v>-300067.1979165993</v>
      </c>
      <c r="J47" s="5" t="n">
        <v>-302073.4743422427</v>
      </c>
      <c r="K47" s="5" t="n">
        <v>-304451.0272951393</v>
      </c>
      <c r="L47" s="5" t="n">
        <v>-307301.068088064</v>
      </c>
      <c r="M47" s="5" t="n">
        <v>-309120.725072911</v>
      </c>
      <c r="N47" s="5" t="n">
        <v>-310981.1357118893</v>
      </c>
      <c r="O47" s="5" t="n">
        <v>-313706.6104725999</v>
      </c>
      <c r="P47" s="5" t="n">
        <v>-316415.6525063516</v>
      </c>
      <c r="Q47" s="5" t="n">
        <v>-318889.2906134668</v>
      </c>
      <c r="R47" s="5" t="n">
        <v>-322224.2955049941</v>
      </c>
      <c r="S47" s="5" t="n">
        <v>-334009.7977738036</v>
      </c>
    </row>
    <row r="48">
      <c r="A48" t="inlineStr">
        <is>
          <t>Closing Platform ARR</t>
        </is>
      </c>
      <c r="B48" s="6">
        <f>B43+B44+B45+B46+B47</f>
        <v/>
      </c>
      <c r="C48" s="6">
        <f>C43+C44+C45+C46+C47</f>
        <v/>
      </c>
      <c r="D48" s="6">
        <f>D43+D44+D45+D46+D47</f>
        <v/>
      </c>
      <c r="E48" s="6">
        <f>E43+E44+E45+E46+E47</f>
        <v/>
      </c>
      <c r="F48" s="6">
        <f>F43+F44+F45+F46+F47</f>
        <v/>
      </c>
      <c r="G48" s="6">
        <f>G43+G44+G45+G46+G47</f>
        <v/>
      </c>
      <c r="H48" s="6">
        <f>H43+H44+H45+H46+H47</f>
        <v/>
      </c>
      <c r="I48" s="6">
        <f>I43+I44+I45+I46+I47</f>
        <v/>
      </c>
      <c r="J48" s="6">
        <f>J43+J44+J45+J46+J47</f>
        <v/>
      </c>
      <c r="K48" s="6">
        <f>K43+K44+K45+K46+K47</f>
        <v/>
      </c>
      <c r="L48" s="6">
        <f>L43+L44+L45+L46+L47</f>
        <v/>
      </c>
      <c r="M48" s="6">
        <f>M43+M44+M45+M46+M47</f>
        <v/>
      </c>
      <c r="N48" s="6">
        <f>N43+N44+N45+N46+N47</f>
        <v/>
      </c>
      <c r="O48" s="6">
        <f>O43+O44+O45+O46+O47</f>
        <v/>
      </c>
      <c r="P48" s="6">
        <f>P43+P44+P45+P46+P47</f>
        <v/>
      </c>
      <c r="Q48" s="6">
        <f>Q43+Q44+Q45+Q46+Q47</f>
        <v/>
      </c>
      <c r="R48" s="6">
        <f>R43+R44+R45+R46+R47</f>
        <v/>
      </c>
      <c r="S48" s="6">
        <f>S43+S44+S45+S46+S47</f>
        <v/>
      </c>
    </row>
    <row r="49">
      <c r="A49" t="inlineStr">
        <is>
          <t>Opening customers</t>
        </is>
      </c>
      <c r="B49" s="8" t="n">
        <v>532.6245130899939</v>
      </c>
      <c r="C49" s="8" t="n">
        <v>533.3220758046887</v>
      </c>
      <c r="D49" s="8" t="n">
        <v>534.0109260172397</v>
      </c>
      <c r="E49" s="8" t="n">
        <v>534.4661725460974</v>
      </c>
      <c r="F49" s="8" t="n">
        <v>536.490733082463</v>
      </c>
      <c r="G49" s="8" t="n">
        <v>536.4275070207327</v>
      </c>
      <c r="H49" s="8" t="n">
        <v>537.0900706474229</v>
      </c>
      <c r="I49" s="8" t="n">
        <v>539.1818589077607</v>
      </c>
      <c r="J49" s="8" t="n">
        <v>540.285020901143</v>
      </c>
      <c r="K49" s="8" t="n">
        <v>542.1619044900468</v>
      </c>
      <c r="L49" s="8" t="n">
        <v>545.0153459540387</v>
      </c>
      <c r="M49" s="8" t="n">
        <v>545.7518981638844</v>
      </c>
      <c r="N49" s="8" t="n">
        <v>546.5855008959312</v>
      </c>
      <c r="O49" s="8" t="n">
        <v>549.2086919969706</v>
      </c>
      <c r="P49" s="8" t="n">
        <v>551.799119652359</v>
      </c>
      <c r="Q49" s="8" t="n">
        <v>553.9071930748945</v>
      </c>
      <c r="R49" s="8" t="n">
        <v>557.7889368301098</v>
      </c>
      <c r="S49" s="8" t="n">
        <v>558.9221979183534</v>
      </c>
    </row>
    <row r="50">
      <c r="A50" t="inlineStr">
        <is>
          <t>New logos</t>
        </is>
      </c>
      <c r="B50" s="8" t="n">
        <v>7.350000000000001</v>
      </c>
      <c r="C50" s="8" t="n">
        <v>7.350000000000001</v>
      </c>
      <c r="D50" s="8" t="n">
        <v>7.125</v>
      </c>
      <c r="E50" s="8" t="n">
        <v>8.699999999999999</v>
      </c>
      <c r="F50" s="8" t="n">
        <v>6.6375</v>
      </c>
      <c r="G50" s="8" t="n">
        <v>7.3625</v>
      </c>
      <c r="H50" s="8" t="n">
        <v>8.800000000000001</v>
      </c>
      <c r="I50" s="8" t="n">
        <v>7.837499999999999</v>
      </c>
      <c r="J50" s="8" t="n">
        <v>8.625</v>
      </c>
      <c r="K50" s="8" t="n">
        <v>9.625</v>
      </c>
      <c r="L50" s="8" t="n">
        <v>7.54375</v>
      </c>
      <c r="M50" s="8" t="n">
        <v>7.649999999999999</v>
      </c>
      <c r="N50" s="8" t="n">
        <v>9.450000000000001</v>
      </c>
      <c r="O50" s="8" t="n">
        <v>9.450000000000001</v>
      </c>
      <c r="P50" s="8" t="n">
        <v>9</v>
      </c>
      <c r="Q50" s="8" t="n">
        <v>10.8</v>
      </c>
      <c r="R50" s="8" t="n">
        <v>8.1</v>
      </c>
      <c r="S50" s="8" t="n">
        <v>8.549999999999999</v>
      </c>
    </row>
    <row r="51">
      <c r="A51" t="inlineStr">
        <is>
          <t>Churned customers</t>
        </is>
      </c>
      <c r="B51" s="8" t="n">
        <v>-6.652437285305271</v>
      </c>
      <c r="C51" s="8" t="n">
        <v>-6.661149787448953</v>
      </c>
      <c r="D51" s="8" t="n">
        <v>-6.66975347114233</v>
      </c>
      <c r="E51" s="8" t="n">
        <v>-6.675439463634505</v>
      </c>
      <c r="F51" s="8" t="n">
        <v>-6.700726061730302</v>
      </c>
      <c r="G51" s="8" t="n">
        <v>-6.69993637330981</v>
      </c>
      <c r="H51" s="8" t="n">
        <v>-6.708211739662196</v>
      </c>
      <c r="I51" s="8" t="n">
        <v>-6.7343380066177</v>
      </c>
      <c r="J51" s="8" t="n">
        <v>-6.748116411096182</v>
      </c>
      <c r="K51" s="8" t="n">
        <v>-6.771558536008093</v>
      </c>
      <c r="L51" s="8" t="n">
        <v>-6.807197790154266</v>
      </c>
      <c r="M51" s="8" t="n">
        <v>-6.816397267953223</v>
      </c>
      <c r="N51" s="8" t="n">
        <v>-6.826808898960643</v>
      </c>
      <c r="O51" s="8" t="n">
        <v>-6.859572344611684</v>
      </c>
      <c r="P51" s="8" t="n">
        <v>-6.891926577464424</v>
      </c>
      <c r="Q51" s="8" t="n">
        <v>-6.918256244784613</v>
      </c>
      <c r="R51" s="8" t="n">
        <v>-6.96673891175648</v>
      </c>
      <c r="S51" s="8" t="n">
        <v>-6.98089325150641</v>
      </c>
    </row>
    <row r="52">
      <c r="A52" t="inlineStr">
        <is>
          <t>Closing customers</t>
        </is>
      </c>
      <c r="B52" s="9">
        <f>B49+B50+B51</f>
        <v/>
      </c>
      <c r="C52" s="9">
        <f>C49+C50+C51</f>
        <v/>
      </c>
      <c r="D52" s="9">
        <f>D49+D50+D51</f>
        <v/>
      </c>
      <c r="E52" s="9">
        <f>E49+E50+E51</f>
        <v/>
      </c>
      <c r="F52" s="9">
        <f>F49+F50+F51</f>
        <v/>
      </c>
      <c r="G52" s="9">
        <f>G49+G50+G51</f>
        <v/>
      </c>
      <c r="H52" s="9">
        <f>H49+H50+H51</f>
        <v/>
      </c>
      <c r="I52" s="9">
        <f>I49+I50+I51</f>
        <v/>
      </c>
      <c r="J52" s="9">
        <f>J49+J50+J51</f>
        <v/>
      </c>
      <c r="K52" s="9">
        <f>K49+K50+K51</f>
        <v/>
      </c>
      <c r="L52" s="9">
        <f>L49+L50+L51</f>
        <v/>
      </c>
      <c r="M52" s="9">
        <f>M49+M50+M51</f>
        <v/>
      </c>
      <c r="N52" s="9">
        <f>N49+N50+N51</f>
        <v/>
      </c>
      <c r="O52" s="9">
        <f>O49+O50+O51</f>
        <v/>
      </c>
      <c r="P52" s="9">
        <f>P49+P50+P51</f>
        <v/>
      </c>
      <c r="Q52" s="9">
        <f>Q49+Q50+Q51</f>
        <v/>
      </c>
      <c r="R52" s="9">
        <f>R49+R50+R51</f>
        <v/>
      </c>
      <c r="S52" s="9">
        <f>S49+S50+S51</f>
        <v/>
      </c>
    </row>
    <row r="53">
      <c r="A53" t="inlineStr">
        <is>
          <t>Insights attach rate</t>
        </is>
      </c>
      <c r="B53" s="10" t="n">
        <v>0.258</v>
      </c>
      <c r="C53" s="10" t="n">
        <v>0.26</v>
      </c>
      <c r="D53" s="10" t="n">
        <v>0.262</v>
      </c>
      <c r="E53" s="10" t="n">
        <v>0.264</v>
      </c>
      <c r="F53" s="10" t="n">
        <v>0.266</v>
      </c>
      <c r="G53" s="10" t="n">
        <v>0.268</v>
      </c>
      <c r="H53" s="10" t="n">
        <v>0.27</v>
      </c>
      <c r="I53" s="10" t="n">
        <v>0.2735</v>
      </c>
      <c r="J53" s="10" t="n">
        <v>0.277</v>
      </c>
      <c r="K53" s="10" t="n">
        <v>0.2805</v>
      </c>
      <c r="L53" s="10" t="n">
        <v>0.284</v>
      </c>
      <c r="M53" s="10" t="n">
        <v>0.2875</v>
      </c>
      <c r="N53" s="10" t="n">
        <v>0.291</v>
      </c>
      <c r="O53" s="10" t="n">
        <v>0.2945</v>
      </c>
      <c r="P53" s="10" t="n">
        <v>0.298</v>
      </c>
      <c r="Q53" s="10" t="n">
        <v>0.3015</v>
      </c>
      <c r="R53" s="10" t="n">
        <v>0.305</v>
      </c>
      <c r="S53" s="10" t="n">
        <v>0.3085000000000001</v>
      </c>
    </row>
    <row r="54">
      <c r="A54" t="inlineStr">
        <is>
          <t>Insights customers</t>
        </is>
      </c>
      <c r="B54" s="8" t="n">
        <v>137.5970955576097</v>
      </c>
      <c r="C54" s="8" t="n">
        <v>138.8428407644823</v>
      </c>
      <c r="D54" s="8" t="n">
        <v>140.0301372070775</v>
      </c>
      <c r="E54" s="8" t="n">
        <v>141.6335535337702</v>
      </c>
      <c r="F54" s="8" t="n">
        <v>142.6897168675149</v>
      </c>
      <c r="G54" s="8" t="n">
        <v>143.9401389335093</v>
      </c>
      <c r="H54" s="8" t="n">
        <v>145.5791019050954</v>
      </c>
      <c r="I54" s="8" t="n">
        <v>147.7679532164626</v>
      </c>
      <c r="J54" s="8" t="n">
        <v>150.178847543743</v>
      </c>
      <c r="K54" s="8" t="n">
        <v>152.8768045401079</v>
      </c>
      <c r="L54" s="8" t="n">
        <v>154.9935390785432</v>
      </c>
      <c r="M54" s="8" t="n">
        <v>157.1433315075802</v>
      </c>
      <c r="N54" s="8" t="n">
        <v>159.8197293711185</v>
      </c>
      <c r="O54" s="8" t="n">
        <v>162.5048407376197</v>
      </c>
      <c r="P54" s="8" t="n">
        <v>165.0643435363186</v>
      </c>
      <c r="Q54" s="8" t="n">
        <v>168.1733644542781</v>
      </c>
      <c r="R54" s="8" t="n">
        <v>170.4712703650978</v>
      </c>
      <c r="S54" s="8" t="n">
        <v>172.9115674897223</v>
      </c>
    </row>
    <row r="55">
      <c r="A55" t="inlineStr">
        <is>
          <t>Insights ARR per customer</t>
        </is>
      </c>
      <c r="B55" s="5" t="n">
        <v>14674.95820040761</v>
      </c>
      <c r="C55" s="5" t="n">
        <v>14748.33299140964</v>
      </c>
      <c r="D55" s="5" t="n">
        <v>14822.07465636669</v>
      </c>
      <c r="E55" s="5" t="n">
        <v>14896.18502964852</v>
      </c>
      <c r="F55" s="5" t="n">
        <v>14970.66595479676</v>
      </c>
      <c r="G55" s="5" t="n">
        <v>15045.51928457074</v>
      </c>
      <c r="H55" s="5" t="n">
        <v>15120.7468809936</v>
      </c>
      <c r="I55" s="5" t="n">
        <v>15196.35061539856</v>
      </c>
      <c r="J55" s="5" t="n">
        <v>15272.33236847555</v>
      </c>
      <c r="K55" s="5" t="n">
        <v>15348.69403031793</v>
      </c>
      <c r="L55" s="5" t="n">
        <v>15425.43750046952</v>
      </c>
      <c r="M55" s="5" t="n">
        <v>15502.56468797186</v>
      </c>
      <c r="N55" s="5" t="n">
        <v>15580.07751141172</v>
      </c>
      <c r="O55" s="5" t="n">
        <v>15657.97789896878</v>
      </c>
      <c r="P55" s="5" t="n">
        <v>15736.26778846362</v>
      </c>
      <c r="Q55" s="5" t="n">
        <v>15814.94912740594</v>
      </c>
      <c r="R55" s="5" t="n">
        <v>15894.02387304296</v>
      </c>
      <c r="S55" s="5" t="n">
        <v>15973.49399240818</v>
      </c>
    </row>
    <row r="56">
      <c r="A56" t="inlineStr">
        <is>
          <t>Insights ARR</t>
        </is>
      </c>
      <c r="B56" s="5" t="n">
        <v>2019231.625805413</v>
      </c>
      <c r="C56" s="5" t="n">
        <v>2047700.44906785</v>
      </c>
      <c r="D56" s="5" t="n">
        <v>2075537.147824574</v>
      </c>
      <c r="E56" s="5" t="n">
        <v>2109799.61984567</v>
      </c>
      <c r="F56" s="5" t="n">
        <v>2136160.086408094</v>
      </c>
      <c r="G56" s="5" t="n">
        <v>2165654.136147907</v>
      </c>
      <c r="H56" s="5" t="n">
        <v>2201264.75106932</v>
      </c>
      <c r="I56" s="5" t="n">
        <v>2245533.626797178</v>
      </c>
      <c r="J56" s="5" t="n">
        <v>2293581.274402661</v>
      </c>
      <c r="K56" s="5" t="n">
        <v>2346459.297218835</v>
      </c>
      <c r="L56" s="5" t="n">
        <v>2390843.150032648</v>
      </c>
      <c r="M56" s="5" t="n">
        <v>2436124.66197967</v>
      </c>
      <c r="N56" s="5" t="n">
        <v>2490003.771454871</v>
      </c>
      <c r="O56" s="5" t="n">
        <v>2544497.204745091</v>
      </c>
      <c r="P56" s="5" t="n">
        <v>2597496.712214463</v>
      </c>
      <c r="Q56" s="5" t="n">
        <v>2659653.203429107</v>
      </c>
      <c r="R56" s="5" t="n">
        <v>2709474.440850826</v>
      </c>
      <c r="S56" s="5" t="n">
        <v>2762001.884514961</v>
      </c>
    </row>
    <row r="57">
      <c r="A57" t="inlineStr">
        <is>
          <t>Total ARR</t>
        </is>
      </c>
      <c r="B57" s="6">
        <f>B48+B56</f>
        <v/>
      </c>
      <c r="C57" s="6">
        <f>C48+C56</f>
        <v/>
      </c>
      <c r="D57" s="6">
        <f>D48+D56</f>
        <v/>
      </c>
      <c r="E57" s="6">
        <f>E48+E56</f>
        <v/>
      </c>
      <c r="F57" s="6">
        <f>F48+F56</f>
        <v/>
      </c>
      <c r="G57" s="6">
        <f>G48+G56</f>
        <v/>
      </c>
      <c r="H57" s="6">
        <f>H48+H56</f>
        <v/>
      </c>
      <c r="I57" s="6">
        <f>I48+I56</f>
        <v/>
      </c>
      <c r="J57" s="6">
        <f>J48+J56</f>
        <v/>
      </c>
      <c r="K57" s="6">
        <f>K48+K56</f>
        <v/>
      </c>
      <c r="L57" s="6">
        <f>L48+L56</f>
        <v/>
      </c>
      <c r="M57" s="6">
        <f>M48+M56</f>
        <v/>
      </c>
      <c r="N57" s="6">
        <f>N48+N56</f>
        <v/>
      </c>
      <c r="O57" s="6">
        <f>O48+O56</f>
        <v/>
      </c>
      <c r="P57" s="6">
        <f>P48+P56</f>
        <v/>
      </c>
      <c r="Q57" s="6">
        <f>Q48+Q56</f>
        <v/>
      </c>
      <c r="R57" s="6">
        <f>R48+R56</f>
        <v/>
      </c>
      <c r="S57" s="6">
        <f>S48+S56</f>
        <v/>
      </c>
    </row>
    <row r="58">
      <c r="A58" s="2" t="inlineStr">
        <is>
          <t>Shaded yellow: values from the model. Shaded blue: Excel formulas.</t>
        </is>
      </c>
    </row>
    <row r="60">
      <c r="A60" s="1" t="inlineStr">
        <is>
          <t>Plan downside: cloud hosting</t>
        </is>
      </c>
    </row>
    <row r="61">
      <c r="A61" s="2" t="inlineStr">
        <is>
          <t>USD, monthly</t>
        </is>
      </c>
      <c r="B61" s="4" t="inlineStr">
        <is>
          <t>2026-09</t>
        </is>
      </c>
      <c r="C61" s="4" t="inlineStr">
        <is>
          <t>2026-10</t>
        </is>
      </c>
      <c r="D61" s="4" t="inlineStr">
        <is>
          <t>2026-11</t>
        </is>
      </c>
      <c r="E61" s="4" t="inlineStr">
        <is>
          <t>2026-12</t>
        </is>
      </c>
      <c r="F61" s="4" t="inlineStr">
        <is>
          <t>2027-01</t>
        </is>
      </c>
      <c r="G61" s="4" t="inlineStr">
        <is>
          <t>2027-02</t>
        </is>
      </c>
      <c r="H61" s="4" t="inlineStr">
        <is>
          <t>2027-03</t>
        </is>
      </c>
      <c r="I61" s="4" t="inlineStr">
        <is>
          <t>2027-04</t>
        </is>
      </c>
      <c r="J61" s="4" t="inlineStr">
        <is>
          <t>2027-05</t>
        </is>
      </c>
      <c r="K61" s="4" t="inlineStr">
        <is>
          <t>2027-06</t>
        </is>
      </c>
      <c r="L61" s="4" t="inlineStr">
        <is>
          <t>2027-07</t>
        </is>
      </c>
      <c r="M61" s="4" t="inlineStr">
        <is>
          <t>2027-08</t>
        </is>
      </c>
      <c r="N61" s="4" t="inlineStr">
        <is>
          <t>2027-09</t>
        </is>
      </c>
      <c r="O61" s="4" t="inlineStr">
        <is>
          <t>2027-10</t>
        </is>
      </c>
      <c r="P61" s="4" t="inlineStr">
        <is>
          <t>2027-11</t>
        </is>
      </c>
      <c r="Q61" s="4" t="inlineStr">
        <is>
          <t>2027-12</t>
        </is>
      </c>
      <c r="R61" s="4" t="inlineStr">
        <is>
          <t>2028-01</t>
        </is>
      </c>
      <c r="S61" s="4" t="inlineStr">
        <is>
          <t>2028-02</t>
        </is>
      </c>
    </row>
    <row r="62">
      <c r="A62" t="inlineStr">
        <is>
          <t>Platform compute units</t>
        </is>
      </c>
      <c r="B62" s="8" t="n">
        <v>106664.4151609377</v>
      </c>
      <c r="C62" s="8" t="n">
        <v>106802.185203448</v>
      </c>
      <c r="D62" s="8" t="n">
        <v>106893.2345092195</v>
      </c>
      <c r="E62" s="8" t="n">
        <v>107298.1466164926</v>
      </c>
      <c r="F62" s="8" t="n">
        <v>107285.5014041465</v>
      </c>
      <c r="G62" s="8" t="n">
        <v>107418.0141294846</v>
      </c>
      <c r="H62" s="8" t="n">
        <v>107836.3717815521</v>
      </c>
      <c r="I62" s="8" t="n">
        <v>108057.0041802286</v>
      </c>
      <c r="J62" s="8" t="n">
        <v>108432.3808980094</v>
      </c>
      <c r="K62" s="8" t="n">
        <v>109003.0691908077</v>
      </c>
      <c r="L62" s="8" t="n">
        <v>109150.3796327769</v>
      </c>
      <c r="M62" s="8" t="n">
        <v>109317.1001791862</v>
      </c>
      <c r="N62" s="8" t="n">
        <v>109841.7383993941</v>
      </c>
      <c r="O62" s="8" t="n">
        <v>110359.8239304718</v>
      </c>
      <c r="P62" s="8" t="n">
        <v>110781.4386149789</v>
      </c>
      <c r="Q62" s="8" t="n">
        <v>111557.787366022</v>
      </c>
      <c r="R62" s="8" t="n">
        <v>111784.4395836707</v>
      </c>
      <c r="S62" s="8" t="n">
        <v>112098.2609333694</v>
      </c>
    </row>
    <row r="63">
      <c r="A63" t="inlineStr">
        <is>
          <t>Insights compute units</t>
        </is>
      </c>
      <c r="B63" s="8" t="n">
        <v>275194.1911152194</v>
      </c>
      <c r="C63" s="8" t="n">
        <v>277685.6815289647</v>
      </c>
      <c r="D63" s="8" t="n">
        <v>280060.2744141551</v>
      </c>
      <c r="E63" s="8" t="n">
        <v>283267.1070675405</v>
      </c>
      <c r="F63" s="8" t="n">
        <v>285379.4337350298</v>
      </c>
      <c r="G63" s="8" t="n">
        <v>287880.2778670187</v>
      </c>
      <c r="H63" s="8" t="n">
        <v>291158.2038101908</v>
      </c>
      <c r="I63" s="8" t="n">
        <v>295535.9064329253</v>
      </c>
      <c r="J63" s="8" t="n">
        <v>300357.695087486</v>
      </c>
      <c r="K63" s="8" t="n">
        <v>305753.6090802157</v>
      </c>
      <c r="L63" s="8" t="n">
        <v>309987.0781570864</v>
      </c>
      <c r="M63" s="8" t="n">
        <v>314286.6630151605</v>
      </c>
      <c r="N63" s="8" t="n">
        <v>319639.458742237</v>
      </c>
      <c r="O63" s="8" t="n">
        <v>325009.6814752395</v>
      </c>
      <c r="P63" s="8" t="n">
        <v>330128.6870726371</v>
      </c>
      <c r="Q63" s="8" t="n">
        <v>336346.7289085563</v>
      </c>
      <c r="R63" s="8" t="n">
        <v>340942.5407301956</v>
      </c>
      <c r="S63" s="8" t="n">
        <v>345823.1349794447</v>
      </c>
    </row>
    <row r="64">
      <c r="A64" t="inlineStr">
        <is>
          <t>Total units</t>
        </is>
      </c>
      <c r="B64" s="9">
        <f>B62+B63</f>
        <v/>
      </c>
      <c r="C64" s="9">
        <f>C62+C63</f>
        <v/>
      </c>
      <c r="D64" s="9">
        <f>D62+D63</f>
        <v/>
      </c>
      <c r="E64" s="9">
        <f>E62+E63</f>
        <v/>
      </c>
      <c r="F64" s="9">
        <f>F62+F63</f>
        <v/>
      </c>
      <c r="G64" s="9">
        <f>G62+G63</f>
        <v/>
      </c>
      <c r="H64" s="9">
        <f>H62+H63</f>
        <v/>
      </c>
      <c r="I64" s="9">
        <f>I62+I63</f>
        <v/>
      </c>
      <c r="J64" s="9">
        <f>J62+J63</f>
        <v/>
      </c>
      <c r="K64" s="9">
        <f>K62+K63</f>
        <v/>
      </c>
      <c r="L64" s="9">
        <f>L62+L63</f>
        <v/>
      </c>
      <c r="M64" s="9">
        <f>M62+M63</f>
        <v/>
      </c>
      <c r="N64" s="9">
        <f>N62+N63</f>
        <v/>
      </c>
      <c r="O64" s="9">
        <f>O62+O63</f>
        <v/>
      </c>
      <c r="P64" s="9">
        <f>P62+P63</f>
        <v/>
      </c>
      <c r="Q64" s="9">
        <f>Q62+Q63</f>
        <v/>
      </c>
      <c r="R64" s="9">
        <f>R62+R63</f>
        <v/>
      </c>
      <c r="S64" s="9">
        <f>S62+S63</f>
        <v/>
      </c>
    </row>
    <row r="65">
      <c r="A65" t="inlineStr">
        <is>
          <t>Committed units</t>
        </is>
      </c>
      <c r="B65" s="8" t="n">
        <v>444819.6541343022</v>
      </c>
      <c r="C65" s="8" t="n">
        <v>444819.6541343022</v>
      </c>
      <c r="D65" s="8" t="n">
        <v>444819.6541343022</v>
      </c>
      <c r="E65" s="8" t="n">
        <v>444819.6541343022</v>
      </c>
      <c r="F65" s="8" t="n">
        <v>444819.6541343022</v>
      </c>
      <c r="G65" s="8" t="n">
        <v>444819.6541343022</v>
      </c>
      <c r="H65" s="8" t="n">
        <v>444819.6541343022</v>
      </c>
      <c r="I65" s="8" t="n">
        <v>444819.6541343022</v>
      </c>
      <c r="J65" s="8" t="n">
        <v>444819.6541343022</v>
      </c>
      <c r="K65" s="8" t="n">
        <v>444819.6541343022</v>
      </c>
      <c r="L65" s="8" t="n">
        <v>444819.6541343022</v>
      </c>
      <c r="M65" s="8" t="n">
        <v>444819.6541343022</v>
      </c>
      <c r="N65" s="8" t="n">
        <v>444819.6541343022</v>
      </c>
      <c r="O65" s="8" t="n">
        <v>444819.6541343022</v>
      </c>
      <c r="P65" s="8" t="n">
        <v>444819.6541343022</v>
      </c>
      <c r="Q65" s="8" t="n">
        <v>444819.6541343022</v>
      </c>
      <c r="R65" s="8" t="n">
        <v>444819.6541343022</v>
      </c>
      <c r="S65" s="8" t="n">
        <v>444819.6541343022</v>
      </c>
    </row>
    <row r="66">
      <c r="A66" t="inlineStr">
        <is>
          <t>On-demand unit price</t>
        </is>
      </c>
      <c r="B66" s="11" t="n">
        <v>0.4193587097323546</v>
      </c>
      <c r="C66" s="11" t="n">
        <v>0.4193587097323546</v>
      </c>
      <c r="D66" s="11" t="n">
        <v>0.4193587097323546</v>
      </c>
      <c r="E66" s="11" t="n">
        <v>0.4193587097323546</v>
      </c>
      <c r="F66" s="11" t="n">
        <v>0.4193587097323546</v>
      </c>
      <c r="G66" s="11" t="n">
        <v>0.4193587097323546</v>
      </c>
      <c r="H66" s="11" t="n">
        <v>0.4193587097323546</v>
      </c>
      <c r="I66" s="11" t="n">
        <v>0.4193587097323546</v>
      </c>
      <c r="J66" s="11" t="n">
        <v>0.4193587097323546</v>
      </c>
      <c r="K66" s="11" t="n">
        <v>0.4193587097323546</v>
      </c>
      <c r="L66" s="11" t="n">
        <v>0.4193587097323546</v>
      </c>
      <c r="M66" s="11" t="n">
        <v>0.4193587097323546</v>
      </c>
      <c r="N66" s="11" t="n">
        <v>0.4193587097323546</v>
      </c>
      <c r="O66" s="11" t="n">
        <v>0.4193587097323546</v>
      </c>
      <c r="P66" s="11" t="n">
        <v>0.4193587097323546</v>
      </c>
      <c r="Q66" s="11" t="n">
        <v>0.4193587097323546</v>
      </c>
      <c r="R66" s="11" t="n">
        <v>0.4193587097323546</v>
      </c>
      <c r="S66" s="11" t="n">
        <v>0.4193587097323546</v>
      </c>
    </row>
    <row r="67">
      <c r="A67" t="inlineStr">
        <is>
          <t>Commitment discount</t>
        </is>
      </c>
      <c r="B67" s="10" t="n">
        <v>0.25</v>
      </c>
      <c r="C67" s="10" t="n">
        <v>0.25</v>
      </c>
      <c r="D67" s="10" t="n">
        <v>0.25</v>
      </c>
      <c r="E67" s="10" t="n">
        <v>0.25</v>
      </c>
      <c r="F67" s="10" t="n">
        <v>0.25</v>
      </c>
      <c r="G67" s="10" t="n">
        <v>0.25</v>
      </c>
      <c r="H67" s="10" t="n">
        <v>0.25</v>
      </c>
      <c r="I67" s="10" t="n">
        <v>0.25</v>
      </c>
      <c r="J67" s="10" t="n">
        <v>0.25</v>
      </c>
      <c r="K67" s="10" t="n">
        <v>0.25</v>
      </c>
      <c r="L67" s="10" t="n">
        <v>0.25</v>
      </c>
      <c r="M67" s="10" t="n">
        <v>0.25</v>
      </c>
      <c r="N67" s="10" t="n">
        <v>0.25</v>
      </c>
      <c r="O67" s="10" t="n">
        <v>0.25</v>
      </c>
      <c r="P67" s="10" t="n">
        <v>0.25</v>
      </c>
      <c r="Q67" s="10" t="n">
        <v>0.25</v>
      </c>
      <c r="R67" s="10" t="n">
        <v>0.25</v>
      </c>
      <c r="S67" s="10" t="n">
        <v>0.25</v>
      </c>
    </row>
    <row r="68">
      <c r="A68" t="inlineStr">
        <is>
          <t>Committed cost</t>
        </is>
      </c>
      <c r="B68" s="6">
        <f>MIN(B64,B65)*B66*(1-B67)</f>
        <v/>
      </c>
      <c r="C68" s="6">
        <f>MIN(C64,C65)*C66*(1-C67)</f>
        <v/>
      </c>
      <c r="D68" s="6">
        <f>MIN(D64,D65)*D66*(1-D67)</f>
        <v/>
      </c>
      <c r="E68" s="6">
        <f>MIN(E64,E65)*E66*(1-E67)</f>
        <v/>
      </c>
      <c r="F68" s="6">
        <f>MIN(F64,F65)*F66*(1-F67)</f>
        <v/>
      </c>
      <c r="G68" s="6">
        <f>MIN(G64,G65)*G66*(1-G67)</f>
        <v/>
      </c>
      <c r="H68" s="6">
        <f>MIN(H64,H65)*H66*(1-H67)</f>
        <v/>
      </c>
      <c r="I68" s="6">
        <f>MIN(I64,I65)*I66*(1-I67)</f>
        <v/>
      </c>
      <c r="J68" s="6">
        <f>MIN(J64,J65)*J66*(1-J67)</f>
        <v/>
      </c>
      <c r="K68" s="6">
        <f>MIN(K64,K65)*K66*(1-K67)</f>
        <v/>
      </c>
      <c r="L68" s="6">
        <f>MIN(L64,L65)*L66*(1-L67)</f>
        <v/>
      </c>
      <c r="M68" s="6">
        <f>MIN(M64,M65)*M66*(1-M67)</f>
        <v/>
      </c>
      <c r="N68" s="6">
        <f>MIN(N64,N65)*N66*(1-N67)</f>
        <v/>
      </c>
      <c r="O68" s="6">
        <f>MIN(O64,O65)*O66*(1-O67)</f>
        <v/>
      </c>
      <c r="P68" s="6">
        <f>MIN(P64,P65)*P66*(1-P67)</f>
        <v/>
      </c>
      <c r="Q68" s="6">
        <f>MIN(Q64,Q65)*Q66*(1-Q67)</f>
        <v/>
      </c>
      <c r="R68" s="6">
        <f>MIN(R64,R65)*R66*(1-R67)</f>
        <v/>
      </c>
      <c r="S68" s="6">
        <f>MIN(S64,S65)*S66*(1-S67)</f>
        <v/>
      </c>
    </row>
    <row r="69">
      <c r="A69" t="inlineStr">
        <is>
          <t>On-demand cost</t>
        </is>
      </c>
      <c r="B69" s="6">
        <f>MAX(B64-B65,0)*B66</f>
        <v/>
      </c>
      <c r="C69" s="6">
        <f>MAX(C64-C65,0)*C66</f>
        <v/>
      </c>
      <c r="D69" s="6">
        <f>MAX(D64-D65,0)*D66</f>
        <v/>
      </c>
      <c r="E69" s="6">
        <f>MAX(E64-E65,0)*E66</f>
        <v/>
      </c>
      <c r="F69" s="6">
        <f>MAX(F64-F65,0)*F66</f>
        <v/>
      </c>
      <c r="G69" s="6">
        <f>MAX(G64-G65,0)*G66</f>
        <v/>
      </c>
      <c r="H69" s="6">
        <f>MAX(H64-H65,0)*H66</f>
        <v/>
      </c>
      <c r="I69" s="6">
        <f>MAX(I64-I65,0)*I66</f>
        <v/>
      </c>
      <c r="J69" s="6">
        <f>MAX(J64-J65,0)*J66</f>
        <v/>
      </c>
      <c r="K69" s="6">
        <f>MAX(K64-K65,0)*K66</f>
        <v/>
      </c>
      <c r="L69" s="6">
        <f>MAX(L64-L65,0)*L66</f>
        <v/>
      </c>
      <c r="M69" s="6">
        <f>MAX(M64-M65,0)*M66</f>
        <v/>
      </c>
      <c r="N69" s="6">
        <f>MAX(N64-N65,0)*N66</f>
        <v/>
      </c>
      <c r="O69" s="6">
        <f>MAX(O64-O65,0)*O66</f>
        <v/>
      </c>
      <c r="P69" s="6">
        <f>MAX(P64-P65,0)*P66</f>
        <v/>
      </c>
      <c r="Q69" s="6">
        <f>MAX(Q64-Q65,0)*Q66</f>
        <v/>
      </c>
      <c r="R69" s="6">
        <f>MAX(R64-R65,0)*R66</f>
        <v/>
      </c>
      <c r="S69" s="6">
        <f>MAX(S64-S65,0)*S66</f>
        <v/>
      </c>
    </row>
    <row r="70">
      <c r="A70" t="inlineStr">
        <is>
          <t>Fixed cloud cost</t>
        </is>
      </c>
      <c r="B70" s="5" t="n">
        <v>28000</v>
      </c>
      <c r="C70" s="5" t="n">
        <v>28000</v>
      </c>
      <c r="D70" s="5" t="n">
        <v>28000</v>
      </c>
      <c r="E70" s="5" t="n">
        <v>28000</v>
      </c>
      <c r="F70" s="5" t="n">
        <v>28000</v>
      </c>
      <c r="G70" s="5" t="n">
        <v>28000</v>
      </c>
      <c r="H70" s="5" t="n">
        <v>28000</v>
      </c>
      <c r="I70" s="5" t="n">
        <v>28000</v>
      </c>
      <c r="J70" s="5" t="n">
        <v>28000</v>
      </c>
      <c r="K70" s="5" t="n">
        <v>28000</v>
      </c>
      <c r="L70" s="5" t="n">
        <v>28000</v>
      </c>
      <c r="M70" s="5" t="n">
        <v>28000</v>
      </c>
      <c r="N70" s="5" t="n">
        <v>28000</v>
      </c>
      <c r="O70" s="5" t="n">
        <v>28000</v>
      </c>
      <c r="P70" s="5" t="n">
        <v>28000</v>
      </c>
      <c r="Q70" s="5" t="n">
        <v>28000</v>
      </c>
      <c r="R70" s="5" t="n">
        <v>28000</v>
      </c>
      <c r="S70" s="5" t="n">
        <v>28000</v>
      </c>
    </row>
    <row r="71">
      <c r="A71" t="inlineStr">
        <is>
          <t>Cloud hosting total</t>
        </is>
      </c>
      <c r="B71" s="6">
        <f>B68+B69+B70</f>
        <v/>
      </c>
      <c r="C71" s="6">
        <f>C68+C69+C70</f>
        <v/>
      </c>
      <c r="D71" s="6">
        <f>D68+D69+D70</f>
        <v/>
      </c>
      <c r="E71" s="6">
        <f>E68+E69+E70</f>
        <v/>
      </c>
      <c r="F71" s="6">
        <f>F68+F69+F70</f>
        <v/>
      </c>
      <c r="G71" s="6">
        <f>G68+G69+G70</f>
        <v/>
      </c>
      <c r="H71" s="6">
        <f>H68+H69+H70</f>
        <v/>
      </c>
      <c r="I71" s="6">
        <f>I68+I69+I70</f>
        <v/>
      </c>
      <c r="J71" s="6">
        <f>J68+J69+J70</f>
        <v/>
      </c>
      <c r="K71" s="6">
        <f>K68+K69+K70</f>
        <v/>
      </c>
      <c r="L71" s="6">
        <f>L68+L69+L70</f>
        <v/>
      </c>
      <c r="M71" s="6">
        <f>M68+M69+M70</f>
        <v/>
      </c>
      <c r="N71" s="6">
        <f>N68+N69+N70</f>
        <v/>
      </c>
      <c r="O71" s="6">
        <f>O68+O69+O70</f>
        <v/>
      </c>
      <c r="P71" s="6">
        <f>P68+P69+P70</f>
        <v/>
      </c>
      <c r="Q71" s="6">
        <f>Q68+Q69+Q70</f>
        <v/>
      </c>
      <c r="R71" s="6">
        <f>R68+R69+R70</f>
        <v/>
      </c>
      <c r="S71" s="6">
        <f>S68+S69+S70</f>
        <v/>
      </c>
    </row>
    <row r="72">
      <c r="A72" s="2" t="inlineStr">
        <is>
          <t>Shaded yellow: values from the model. Shaded blue: Excel formulas.</t>
        </is>
      </c>
    </row>
    <row r="74">
      <c r="A74" s="1" t="inlineStr">
        <is>
          <t>Plan downside: cash</t>
        </is>
      </c>
    </row>
    <row r="75">
      <c r="A75" s="2" t="inlineStr">
        <is>
          <t>USD, monthly</t>
        </is>
      </c>
      <c r="B75" s="4" t="inlineStr">
        <is>
          <t>2026-09</t>
        </is>
      </c>
      <c r="C75" s="4" t="inlineStr">
        <is>
          <t>2026-10</t>
        </is>
      </c>
      <c r="D75" s="4" t="inlineStr">
        <is>
          <t>2026-11</t>
        </is>
      </c>
      <c r="E75" s="4" t="inlineStr">
        <is>
          <t>2026-12</t>
        </is>
      </c>
      <c r="F75" s="4" t="inlineStr">
        <is>
          <t>2027-01</t>
        </is>
      </c>
      <c r="G75" s="4" t="inlineStr">
        <is>
          <t>2027-02</t>
        </is>
      </c>
      <c r="H75" s="4" t="inlineStr">
        <is>
          <t>2027-03</t>
        </is>
      </c>
      <c r="I75" s="4" t="inlineStr">
        <is>
          <t>2027-04</t>
        </is>
      </c>
      <c r="J75" s="4" t="inlineStr">
        <is>
          <t>2027-05</t>
        </is>
      </c>
      <c r="K75" s="4" t="inlineStr">
        <is>
          <t>2027-06</t>
        </is>
      </c>
      <c r="L75" s="4" t="inlineStr">
        <is>
          <t>2027-07</t>
        </is>
      </c>
      <c r="M75" s="4" t="inlineStr">
        <is>
          <t>2027-08</t>
        </is>
      </c>
      <c r="N75" s="4" t="inlineStr">
        <is>
          <t>2027-09</t>
        </is>
      </c>
      <c r="O75" s="4" t="inlineStr">
        <is>
          <t>2027-10</t>
        </is>
      </c>
      <c r="P75" s="4" t="inlineStr">
        <is>
          <t>2027-11</t>
        </is>
      </c>
      <c r="Q75" s="4" t="inlineStr">
        <is>
          <t>2027-12</t>
        </is>
      </c>
      <c r="R75" s="4" t="inlineStr">
        <is>
          <t>2028-01</t>
        </is>
      </c>
      <c r="S75" s="4" t="inlineStr">
        <is>
          <t>2028-02</t>
        </is>
      </c>
    </row>
    <row r="76">
      <c r="A76" t="inlineStr">
        <is>
          <t>Opening cash</t>
        </is>
      </c>
      <c r="B76" s="6">
        <f>24750279.18739851</f>
        <v/>
      </c>
      <c r="C76" s="6">
        <f>B83</f>
        <v/>
      </c>
      <c r="D76" s="6">
        <f>C83</f>
        <v/>
      </c>
      <c r="E76" s="6">
        <f>D83</f>
        <v/>
      </c>
      <c r="F76" s="6">
        <f>E83</f>
        <v/>
      </c>
      <c r="G76" s="6">
        <f>F83</f>
        <v/>
      </c>
      <c r="H76" s="6">
        <f>G83</f>
        <v/>
      </c>
      <c r="I76" s="6">
        <f>H83</f>
        <v/>
      </c>
      <c r="J76" s="6">
        <f>I83</f>
        <v/>
      </c>
      <c r="K76" s="6">
        <f>J83</f>
        <v/>
      </c>
      <c r="L76" s="6">
        <f>K83</f>
        <v/>
      </c>
      <c r="M76" s="6">
        <f>L83</f>
        <v/>
      </c>
      <c r="N76" s="6">
        <f>M83</f>
        <v/>
      </c>
      <c r="O76" s="6">
        <f>N83</f>
        <v/>
      </c>
      <c r="P76" s="6">
        <f>O83</f>
        <v/>
      </c>
      <c r="Q76" s="6">
        <f>P83</f>
        <v/>
      </c>
      <c r="R76" s="6">
        <f>Q83</f>
        <v/>
      </c>
      <c r="S76" s="6">
        <f>R83</f>
        <v/>
      </c>
    </row>
    <row r="77">
      <c r="A77" t="inlineStr">
        <is>
          <t>EBITDA</t>
        </is>
      </c>
      <c r="B77" s="5" t="n">
        <v>-505112.4132510433</v>
      </c>
      <c r="C77" s="5" t="n">
        <v>-585870.4236996542</v>
      </c>
      <c r="D77" s="5" t="n">
        <v>-608860.5934008881</v>
      </c>
      <c r="E77" s="5" t="n">
        <v>-597473.8817777447</v>
      </c>
      <c r="F77" s="5" t="n">
        <v>-721388.2226140543</v>
      </c>
      <c r="G77" s="5" t="n">
        <v>-685223.2539227463</v>
      </c>
      <c r="H77" s="5" t="n">
        <v>-737219.7357057717</v>
      </c>
      <c r="I77" s="5" t="n">
        <v>-686645.0462617236</v>
      </c>
      <c r="J77" s="5" t="n">
        <v>-729070.4680042202</v>
      </c>
      <c r="K77" s="5" t="n">
        <v>-721599.6728025263</v>
      </c>
      <c r="L77" s="5" t="n">
        <v>-631204.8273329749</v>
      </c>
      <c r="M77" s="5" t="n">
        <v>-621166.2457007556</v>
      </c>
      <c r="N77" s="5" t="n">
        <v>-667872.8768155023</v>
      </c>
      <c r="O77" s="5" t="n">
        <v>-648267.5843380319</v>
      </c>
      <c r="P77" s="5" t="n">
        <v>-613566.9502127562</v>
      </c>
      <c r="Q77" s="5" t="n">
        <v>-656437.4727183392</v>
      </c>
      <c r="R77" s="5" t="n">
        <v>-552839.43488511</v>
      </c>
      <c r="S77" s="5" t="n">
        <v>-553618.2791065085</v>
      </c>
    </row>
    <row r="78">
      <c r="A78" t="inlineStr">
        <is>
          <t>Equipment capex</t>
        </is>
      </c>
      <c r="B78" s="5" t="n">
        <v>-0</v>
      </c>
      <c r="C78" s="5" t="n">
        <v>-10500</v>
      </c>
      <c r="D78" s="5" t="n">
        <v>-14000</v>
      </c>
      <c r="E78" s="5" t="n">
        <v>-0</v>
      </c>
      <c r="F78" s="5" t="n">
        <v>-28000</v>
      </c>
      <c r="G78" s="5" t="n">
        <v>-7000</v>
      </c>
      <c r="H78" s="5" t="n">
        <v>-7000</v>
      </c>
      <c r="I78" s="5" t="n">
        <v>-3500</v>
      </c>
      <c r="J78" s="5" t="n">
        <v>-7000</v>
      </c>
      <c r="K78" s="5" t="n">
        <v>-0</v>
      </c>
      <c r="L78" s="5" t="n">
        <v>-0</v>
      </c>
      <c r="M78" s="5" t="n">
        <v>-0</v>
      </c>
      <c r="N78" s="5" t="n">
        <v>-0</v>
      </c>
      <c r="O78" s="5" t="n">
        <v>-0</v>
      </c>
      <c r="P78" s="5" t="n">
        <v>-0</v>
      </c>
      <c r="Q78" s="5" t="n">
        <v>-0</v>
      </c>
      <c r="R78" s="5" t="n">
        <v>-0</v>
      </c>
      <c r="S78" s="5" t="n">
        <v>-0</v>
      </c>
    </row>
    <row r="79">
      <c r="A79" t="inlineStr">
        <is>
          <t>Change in receivables</t>
        </is>
      </c>
      <c r="B79" s="5" t="n">
        <v>-21518.55012260098</v>
      </c>
      <c r="C79" s="5" t="n">
        <v>-21440.1146852565</v>
      </c>
      <c r="D79" s="5" t="n">
        <v>-20188.97972884821</v>
      </c>
      <c r="E79" s="5" t="n">
        <v>-28341.59906261228</v>
      </c>
      <c r="F79" s="5" t="n">
        <v>-104172.775981368</v>
      </c>
      <c r="G79" s="5" t="n">
        <v>-21710.35017744591</v>
      </c>
      <c r="H79" s="5" t="n">
        <v>-29369.97743095225</v>
      </c>
      <c r="I79" s="5" t="n">
        <v>-25612.5662171538</v>
      </c>
      <c r="J79" s="5" t="n">
        <v>-29800.67451720871</v>
      </c>
      <c r="K79" s="5" t="n">
        <v>-35133.16322996048</v>
      </c>
      <c r="L79" s="5" t="n">
        <v>-23759.23775452422</v>
      </c>
      <c r="M79" s="5" t="n">
        <v>-24279.3106069346</v>
      </c>
      <c r="N79" s="5" t="n">
        <v>-34011.6333778291</v>
      </c>
      <c r="O79" s="5" t="n">
        <v>-33923.96395790763</v>
      </c>
      <c r="P79" s="5" t="n">
        <v>-31381.28403788665</v>
      </c>
      <c r="Q79" s="5" t="n">
        <v>-41146.52687180694</v>
      </c>
      <c r="R79" s="5" t="n">
        <v>-124177.79720126</v>
      </c>
      <c r="S79" s="5" t="n">
        <v>-29317.85219889414</v>
      </c>
    </row>
    <row r="80">
      <c r="A80" t="inlineStr">
        <is>
          <t>Change in deferred revenue</t>
        </is>
      </c>
      <c r="B80" s="5" t="n">
        <v>31560.54017981514</v>
      </c>
      <c r="C80" s="5" t="n">
        <v>31445.50153837632</v>
      </c>
      <c r="D80" s="5" t="n">
        <v>29610.50360231102</v>
      </c>
      <c r="E80" s="5" t="n">
        <v>41567.67862516362</v>
      </c>
      <c r="F80" s="5" t="n">
        <v>152786.7381060077</v>
      </c>
      <c r="G80" s="5" t="n">
        <v>31841.84692692105</v>
      </c>
      <c r="H80" s="5" t="n">
        <v>43075.96689872816</v>
      </c>
      <c r="I80" s="5" t="n">
        <v>37565.09711849317</v>
      </c>
      <c r="J80" s="5" t="n">
        <v>43707.65595857333</v>
      </c>
      <c r="K80" s="5" t="n">
        <v>51528.63940394111</v>
      </c>
      <c r="L80" s="5" t="n">
        <v>34846.88203996979</v>
      </c>
      <c r="M80" s="5" t="n">
        <v>35609.65555683803</v>
      </c>
      <c r="N80" s="5" t="n">
        <v>49883.72895414755</v>
      </c>
      <c r="O80" s="5" t="n">
        <v>49755.14713826496</v>
      </c>
      <c r="P80" s="5" t="n">
        <v>46025.88325556647</v>
      </c>
      <c r="Q80" s="5" t="n">
        <v>60348.23941198271</v>
      </c>
      <c r="R80" s="5" t="n">
        <v>182127.4358951831</v>
      </c>
      <c r="S80" s="5" t="n">
        <v>42999.516558378</v>
      </c>
    </row>
    <row r="81">
      <c r="A81" t="inlineStr">
        <is>
          <t>Financing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</row>
    <row r="82">
      <c r="A82" t="inlineStr">
        <is>
          <t>Net cash flow</t>
        </is>
      </c>
      <c r="B82" s="6">
        <f>B77+B78+B79+B80+B81</f>
        <v/>
      </c>
      <c r="C82" s="6">
        <f>C77+C78+C79+C80+C81</f>
        <v/>
      </c>
      <c r="D82" s="6">
        <f>D77+D78+D79+D80+D81</f>
        <v/>
      </c>
      <c r="E82" s="6">
        <f>E77+E78+E79+E80+E81</f>
        <v/>
      </c>
      <c r="F82" s="6">
        <f>F77+F78+F79+F80+F81</f>
        <v/>
      </c>
      <c r="G82" s="6">
        <f>G77+G78+G79+G80+G81</f>
        <v/>
      </c>
      <c r="H82" s="6">
        <f>H77+H78+H79+H80+H81</f>
        <v/>
      </c>
      <c r="I82" s="6">
        <f>I77+I78+I79+I80+I81</f>
        <v/>
      </c>
      <c r="J82" s="6">
        <f>J77+J78+J79+J80+J81</f>
        <v/>
      </c>
      <c r="K82" s="6">
        <f>K77+K78+K79+K80+K81</f>
        <v/>
      </c>
      <c r="L82" s="6">
        <f>L77+L78+L79+L80+L81</f>
        <v/>
      </c>
      <c r="M82" s="6">
        <f>M77+M78+M79+M80+M81</f>
        <v/>
      </c>
      <c r="N82" s="6">
        <f>N77+N78+N79+N80+N81</f>
        <v/>
      </c>
      <c r="O82" s="6">
        <f>O77+O78+O79+O80+O81</f>
        <v/>
      </c>
      <c r="P82" s="6">
        <f>P77+P78+P79+P80+P81</f>
        <v/>
      </c>
      <c r="Q82" s="6">
        <f>Q77+Q78+Q79+Q80+Q81</f>
        <v/>
      </c>
      <c r="R82" s="6">
        <f>R77+R78+R79+R80+R81</f>
        <v/>
      </c>
      <c r="S82" s="6">
        <f>S77+S78+S79+S80+S81</f>
        <v/>
      </c>
    </row>
    <row r="83">
      <c r="A83" t="inlineStr">
        <is>
          <t>Closing cash</t>
        </is>
      </c>
      <c r="B83" s="6">
        <f>B76+B82</f>
        <v/>
      </c>
      <c r="C83" s="6">
        <f>C76+C82</f>
        <v/>
      </c>
      <c r="D83" s="6">
        <f>D76+D82</f>
        <v/>
      </c>
      <c r="E83" s="6">
        <f>E76+E82</f>
        <v/>
      </c>
      <c r="F83" s="6">
        <f>F76+F82</f>
        <v/>
      </c>
      <c r="G83" s="6">
        <f>G76+G82</f>
        <v/>
      </c>
      <c r="H83" s="6">
        <f>H76+H82</f>
        <v/>
      </c>
      <c r="I83" s="6">
        <f>I76+I82</f>
        <v/>
      </c>
      <c r="J83" s="6">
        <f>J76+J82</f>
        <v/>
      </c>
      <c r="K83" s="6">
        <f>K76+K82</f>
        <v/>
      </c>
      <c r="L83" s="6">
        <f>L76+L82</f>
        <v/>
      </c>
      <c r="M83" s="6">
        <f>M76+M82</f>
        <v/>
      </c>
      <c r="N83" s="6">
        <f>N76+N82</f>
        <v/>
      </c>
      <c r="O83" s="6">
        <f>O76+O82</f>
        <v/>
      </c>
      <c r="P83" s="6">
        <f>P76+P82</f>
        <v/>
      </c>
      <c r="Q83" s="6">
        <f>Q76+Q82</f>
        <v/>
      </c>
      <c r="R83" s="6">
        <f>R76+R82</f>
        <v/>
      </c>
      <c r="S83" s="6">
        <f>S76+S82</f>
        <v/>
      </c>
    </row>
    <row r="84">
      <c r="A84" t="inlineStr">
        <is>
          <t>Receivables</t>
        </is>
      </c>
      <c r="B84" s="5" t="n">
        <v>3053028.094064334</v>
      </c>
      <c r="C84" s="5" t="n">
        <v>3074468.208749591</v>
      </c>
      <c r="D84" s="5" t="n">
        <v>3094657.188478439</v>
      </c>
      <c r="E84" s="5" t="n">
        <v>3122998.787541051</v>
      </c>
      <c r="F84" s="5" t="n">
        <v>3227171.563522419</v>
      </c>
      <c r="G84" s="5" t="n">
        <v>3248881.913699865</v>
      </c>
      <c r="H84" s="5" t="n">
        <v>3278251.891130818</v>
      </c>
      <c r="I84" s="5" t="n">
        <v>3303864.457347971</v>
      </c>
      <c r="J84" s="5" t="n">
        <v>3333665.13186518</v>
      </c>
      <c r="K84" s="5" t="n">
        <v>3368798.295095141</v>
      </c>
      <c r="L84" s="5" t="n">
        <v>3392557.532849665</v>
      </c>
      <c r="M84" s="5" t="n">
        <v>3416836.843456599</v>
      </c>
      <c r="N84" s="5" t="n">
        <v>3450848.476834428</v>
      </c>
      <c r="O84" s="5" t="n">
        <v>3484772.440792336</v>
      </c>
      <c r="P84" s="5" t="n">
        <v>3516153.724830223</v>
      </c>
      <c r="Q84" s="5" t="n">
        <v>3557300.25170203</v>
      </c>
      <c r="R84" s="5" t="n">
        <v>3681478.04890329</v>
      </c>
      <c r="S84" s="5" t="n">
        <v>3710795.901102184</v>
      </c>
    </row>
    <row r="85">
      <c r="A85" t="inlineStr">
        <is>
          <t>Deferred revenue</t>
        </is>
      </c>
      <c r="B85" s="5" t="n">
        <v>4477774.537961024</v>
      </c>
      <c r="C85" s="5" t="n">
        <v>4509220.0394994</v>
      </c>
      <c r="D85" s="5" t="n">
        <v>4538830.543101711</v>
      </c>
      <c r="E85" s="5" t="n">
        <v>4580398.221726875</v>
      </c>
      <c r="F85" s="5" t="n">
        <v>4733184.959832883</v>
      </c>
      <c r="G85" s="5" t="n">
        <v>4765026.806759804</v>
      </c>
      <c r="H85" s="5" t="n">
        <v>4808102.773658532</v>
      </c>
      <c r="I85" s="5" t="n">
        <v>4845667.870777025</v>
      </c>
      <c r="J85" s="5" t="n">
        <v>4889375.526735598</v>
      </c>
      <c r="K85" s="5" t="n">
        <v>4940904.166139539</v>
      </c>
      <c r="L85" s="5" t="n">
        <v>4975751.048179509</v>
      </c>
      <c r="M85" s="5" t="n">
        <v>5011360.703736347</v>
      </c>
      <c r="N85" s="5" t="n">
        <v>5061244.432690495</v>
      </c>
      <c r="O85" s="5" t="n">
        <v>5110999.57982876</v>
      </c>
      <c r="P85" s="5" t="n">
        <v>5157025.463084326</v>
      </c>
      <c r="Q85" s="5" t="n">
        <v>5217373.702496309</v>
      </c>
      <c r="R85" s="5" t="n">
        <v>5399501.138391492</v>
      </c>
      <c r="S85" s="5" t="n">
        <v>5442500.65494987</v>
      </c>
    </row>
    <row r="86">
      <c r="A86" t="inlineStr">
        <is>
          <t>Net burn, trailing 3 months</t>
        </is>
      </c>
      <c r="B86" s="5" t="n">
        <v>495070.4231938291</v>
      </c>
      <c r="C86" s="5" t="n">
        <v>540717.7300201817</v>
      </c>
      <c r="D86" s="5" t="n">
        <v>564958.1765225963</v>
      </c>
      <c r="E86" s="5" t="n">
        <v>594683.9695297177</v>
      </c>
      <c r="F86" s="5" t="n">
        <v>632820.3774106778</v>
      </c>
      <c r="G86" s="5" t="n">
        <v>655704.6066259597</v>
      </c>
      <c r="H86" s="5" t="n">
        <v>704459.9213002272</v>
      </c>
      <c r="I86" s="5" t="n">
        <v>696932.6729238838</v>
      </c>
      <c r="J86" s="5" t="n">
        <v>710289.9160537453</v>
      </c>
      <c r="K86" s="5" t="n">
        <v>701853.3995172618</v>
      </c>
      <c r="L86" s="5" t="n">
        <v>682494.9554129768</v>
      </c>
      <c r="M86" s="5" t="n">
        <v>645052.4268089758</v>
      </c>
      <c r="N86" s="5" t="n">
        <v>627317.9550125218</v>
      </c>
      <c r="O86" s="5" t="n">
        <v>631424.3610492368</v>
      </c>
      <c r="P86" s="5" t="n">
        <v>627786.5111306449</v>
      </c>
      <c r="Q86" s="5" t="n">
        <v>622864.8374436381</v>
      </c>
      <c r="R86" s="5" t="n">
        <v>577015.9691214756</v>
      </c>
      <c r="S86" s="5" t="n">
        <v>557354.0570387916</v>
      </c>
    </row>
    <row r="87">
      <c r="A87" t="inlineStr">
        <is>
          <t>Runway (months)</t>
        </is>
      </c>
      <c r="B87" s="8" t="n">
        <v>48.99345149267445</v>
      </c>
      <c r="C87" s="8" t="n">
        <v>43.77301207873234</v>
      </c>
      <c r="D87" s="8" t="n">
        <v>40.8090467859767</v>
      </c>
      <c r="E87" s="8" t="n">
        <v>37.78672035398222</v>
      </c>
      <c r="F87" s="8" t="n">
        <v>34.40215165669026</v>
      </c>
      <c r="G87" s="8" t="n">
        <v>32.16126686445936</v>
      </c>
      <c r="H87" s="8" t="n">
        <v>28.89841774694625</v>
      </c>
      <c r="I87" s="8" t="n">
        <v>28.23742570970522</v>
      </c>
      <c r="J87" s="8" t="n">
        <v>26.68969481520438</v>
      </c>
      <c r="K87" s="8" t="n">
        <v>26.00573981078816</v>
      </c>
      <c r="L87" s="8" t="n">
        <v>25.83476928330755</v>
      </c>
      <c r="M87" s="8" t="n">
        <v>26.3889617369126</v>
      </c>
      <c r="N87" s="8" t="n">
        <v>26.09563921663733</v>
      </c>
      <c r="O87" s="8" t="n">
        <v>24.92432601240836</v>
      </c>
      <c r="P87" s="8" t="n">
        <v>24.11473328521752</v>
      </c>
      <c r="Q87" s="8" t="n">
        <v>23.2822077022558</v>
      </c>
      <c r="R87" s="8" t="n">
        <v>24.27450793247393</v>
      </c>
      <c r="S87" s="8" t="n">
        <v>24.16209577159152</v>
      </c>
    </row>
    <row r="88">
      <c r="A88" s="2" t="inlineStr">
        <is>
          <t>Shaded yellow: values from the model. Shaded blue: Excel formulas.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Recommended option (phased_commit), base scenario. FTE is net of the vacancy allowance.</t>
        </is>
      </c>
    </row>
    <row r="3">
      <c r="A3" s="3" t="inlineStr">
        <is>
          <t>month</t>
        </is>
      </c>
      <c r="B3" s="3" t="inlineStr">
        <is>
          <t>function</t>
        </is>
      </c>
      <c r="C3" s="3" t="inlineStr">
        <is>
          <t>location</t>
        </is>
      </c>
      <c r="D3" s="3" t="inlineStr">
        <is>
          <t>fte</t>
        </is>
      </c>
      <c r="E3" s="3" t="inlineStr">
        <is>
          <t>people_cost</t>
        </is>
      </c>
      <c r="F3" s="3" t="inlineStr">
        <is>
          <t>recruiting</t>
        </is>
      </c>
      <c r="G3" s="3" t="inlineStr">
        <is>
          <t>capex</t>
        </is>
      </c>
    </row>
    <row r="4">
      <c r="A4" t="inlineStr">
        <is>
          <t>2026-09</t>
        </is>
      </c>
      <c r="B4" t="inlineStr">
        <is>
          <t>Customer Operations</t>
        </is>
      </c>
      <c r="C4" t="inlineStr">
        <is>
          <t>Austin</t>
        </is>
      </c>
      <c r="D4" t="n">
        <v>9.800000000000001</v>
      </c>
      <c r="E4" t="n">
        <v>104066.9314191799</v>
      </c>
      <c r="F4" t="n">
        <v>0</v>
      </c>
      <c r="G4" t="n">
        <v>0</v>
      </c>
    </row>
    <row r="5">
      <c r="A5" t="inlineStr">
        <is>
          <t>2026-09</t>
        </is>
      </c>
      <c r="B5" t="inlineStr">
        <is>
          <t>Customer Operations</t>
        </is>
      </c>
      <c r="C5" t="inlineStr">
        <is>
          <t>Montreal</t>
        </is>
      </c>
      <c r="D5" t="n">
        <v>15.68</v>
      </c>
      <c r="E5" t="n">
        <v>156735.7238089552</v>
      </c>
      <c r="F5" t="n">
        <v>0</v>
      </c>
      <c r="G5" t="n">
        <v>0</v>
      </c>
    </row>
    <row r="6">
      <c r="A6" t="inlineStr">
        <is>
          <t>2026-09</t>
        </is>
      </c>
      <c r="B6" t="inlineStr">
        <is>
          <t>Customer Operations</t>
        </is>
      </c>
      <c r="C6" t="inlineStr">
        <is>
          <t>Paris</t>
        </is>
      </c>
      <c r="D6" t="n">
        <v>0.98</v>
      </c>
      <c r="E6" t="n">
        <v>16098.82569117837</v>
      </c>
      <c r="F6" t="n">
        <v>0</v>
      </c>
      <c r="G6" t="n">
        <v>0</v>
      </c>
    </row>
    <row r="7">
      <c r="A7" t="inlineStr">
        <is>
          <t>2026-09</t>
        </is>
      </c>
      <c r="B7" t="inlineStr">
        <is>
          <t>G&amp;A</t>
        </is>
      </c>
      <c r="C7" t="inlineStr">
        <is>
          <t>Austin</t>
        </is>
      </c>
      <c r="D7" t="n">
        <v>0.98</v>
      </c>
      <c r="E7" t="n">
        <v>36328.6487045382</v>
      </c>
      <c r="F7" t="n">
        <v>0</v>
      </c>
      <c r="G7" t="n">
        <v>0</v>
      </c>
    </row>
    <row r="8">
      <c r="A8" t="inlineStr">
        <is>
          <t>2026-09</t>
        </is>
      </c>
      <c r="B8" t="inlineStr">
        <is>
          <t>G&amp;A</t>
        </is>
      </c>
      <c r="C8" t="inlineStr">
        <is>
          <t>Montreal</t>
        </is>
      </c>
      <c r="D8" t="n">
        <v>13.72</v>
      </c>
      <c r="E8" t="n">
        <v>211495.0154481551</v>
      </c>
      <c r="F8" t="n">
        <v>0</v>
      </c>
      <c r="G8" t="n">
        <v>0</v>
      </c>
    </row>
    <row r="9">
      <c r="A9" t="inlineStr">
        <is>
          <t>2026-09</t>
        </is>
      </c>
      <c r="B9" t="inlineStr">
        <is>
          <t>R&amp;D</t>
        </is>
      </c>
      <c r="C9" t="inlineStr">
        <is>
          <t>Montreal</t>
        </is>
      </c>
      <c r="D9" t="n">
        <v>44.1</v>
      </c>
      <c r="E9" t="n">
        <v>564219.9607300349</v>
      </c>
      <c r="F9" t="n">
        <v>0</v>
      </c>
      <c r="G9" t="n">
        <v>0</v>
      </c>
    </row>
    <row r="10">
      <c r="A10" t="inlineStr">
        <is>
          <t>2026-09</t>
        </is>
      </c>
      <c r="B10" t="inlineStr">
        <is>
          <t>R&amp;D</t>
        </is>
      </c>
      <c r="C10" t="inlineStr">
        <is>
          <t>Paris</t>
        </is>
      </c>
      <c r="D10" t="n">
        <v>26.46</v>
      </c>
      <c r="E10" t="n">
        <v>352942.3226686263</v>
      </c>
      <c r="F10" t="n">
        <v>0</v>
      </c>
      <c r="G10" t="n">
        <v>0</v>
      </c>
    </row>
    <row r="11">
      <c r="A11" t="inlineStr">
        <is>
          <t>2026-09</t>
        </is>
      </c>
      <c r="B11" t="inlineStr">
        <is>
          <t>S&amp;M</t>
        </is>
      </c>
      <c r="C11" t="inlineStr">
        <is>
          <t>Austin</t>
        </is>
      </c>
      <c r="D11" t="n">
        <v>26.46</v>
      </c>
      <c r="E11" t="n">
        <v>302953.4343565666</v>
      </c>
      <c r="F11" t="n">
        <v>0</v>
      </c>
      <c r="G11" t="n">
        <v>0</v>
      </c>
    </row>
    <row r="12">
      <c r="A12" t="inlineStr">
        <is>
          <t>2026-09</t>
        </is>
      </c>
      <c r="B12" t="inlineStr">
        <is>
          <t>S&amp;M</t>
        </is>
      </c>
      <c r="C12" t="inlineStr">
        <is>
          <t>Montreal</t>
        </is>
      </c>
      <c r="D12" t="n">
        <v>0.98</v>
      </c>
      <c r="E12" t="n">
        <v>10784.28655290167</v>
      </c>
      <c r="F12" t="n">
        <v>0</v>
      </c>
      <c r="G12" t="n">
        <v>0</v>
      </c>
    </row>
    <row r="13">
      <c r="A13" t="inlineStr">
        <is>
          <t>2026-10</t>
        </is>
      </c>
      <c r="B13" t="inlineStr">
        <is>
          <t>Customer Operations</t>
        </is>
      </c>
      <c r="C13" t="inlineStr">
        <is>
          <t>Austin</t>
        </is>
      </c>
      <c r="D13" t="n">
        <v>9.800000000000001</v>
      </c>
      <c r="E13" t="n">
        <v>104066.9314191799</v>
      </c>
      <c r="F13" t="n">
        <v>0</v>
      </c>
      <c r="G13" t="n">
        <v>0</v>
      </c>
    </row>
    <row r="14">
      <c r="A14" t="inlineStr">
        <is>
          <t>2026-10</t>
        </is>
      </c>
      <c r="B14" t="inlineStr">
        <is>
          <t>Customer Operations</t>
        </is>
      </c>
      <c r="C14" t="inlineStr">
        <is>
          <t>Montreal</t>
        </is>
      </c>
      <c r="D14" t="n">
        <v>15.68</v>
      </c>
      <c r="E14" t="n">
        <v>156735.7238089552</v>
      </c>
      <c r="F14" t="n">
        <v>0</v>
      </c>
      <c r="G14" t="n">
        <v>0</v>
      </c>
    </row>
    <row r="15">
      <c r="A15" t="inlineStr">
        <is>
          <t>2026-10</t>
        </is>
      </c>
      <c r="B15" t="inlineStr">
        <is>
          <t>Customer Operations</t>
        </is>
      </c>
      <c r="C15" t="inlineStr">
        <is>
          <t>Paris</t>
        </is>
      </c>
      <c r="D15" t="n">
        <v>0.98</v>
      </c>
      <c r="E15" t="n">
        <v>16098.82569117837</v>
      </c>
      <c r="F15" t="n">
        <v>0</v>
      </c>
      <c r="G15" t="n">
        <v>0</v>
      </c>
    </row>
    <row r="16">
      <c r="A16" t="inlineStr">
        <is>
          <t>2026-10</t>
        </is>
      </c>
      <c r="B16" t="inlineStr">
        <is>
          <t>G&amp;A</t>
        </is>
      </c>
      <c r="C16" t="inlineStr">
        <is>
          <t>Austin</t>
        </is>
      </c>
      <c r="D16" t="n">
        <v>0.98</v>
      </c>
      <c r="E16" t="n">
        <v>36328.6487045382</v>
      </c>
      <c r="F16" t="n">
        <v>0</v>
      </c>
      <c r="G16" t="n">
        <v>0</v>
      </c>
    </row>
    <row r="17">
      <c r="A17" t="inlineStr">
        <is>
          <t>2026-10</t>
        </is>
      </c>
      <c r="B17" t="inlineStr">
        <is>
          <t>G&amp;A</t>
        </is>
      </c>
      <c r="C17" t="inlineStr">
        <is>
          <t>Montreal</t>
        </is>
      </c>
      <c r="D17" t="n">
        <v>13.72</v>
      </c>
      <c r="E17" t="n">
        <v>211495.0154481551</v>
      </c>
      <c r="F17" t="n">
        <v>0</v>
      </c>
      <c r="G17" t="n">
        <v>0</v>
      </c>
    </row>
    <row r="18">
      <c r="A18" t="inlineStr">
        <is>
          <t>2026-10</t>
        </is>
      </c>
      <c r="B18" t="inlineStr">
        <is>
          <t>R&amp;D</t>
        </is>
      </c>
      <c r="C18" t="inlineStr">
        <is>
          <t>Montreal</t>
        </is>
      </c>
      <c r="D18" t="n">
        <v>46.06</v>
      </c>
      <c r="E18" t="n">
        <v>589920.4607300349</v>
      </c>
      <c r="F18" t="n">
        <v>37500</v>
      </c>
      <c r="G18" t="n">
        <v>7000</v>
      </c>
    </row>
    <row r="19">
      <c r="A19" t="inlineStr">
        <is>
          <t>2026-10</t>
        </is>
      </c>
      <c r="B19" t="inlineStr">
        <is>
          <t>R&amp;D</t>
        </is>
      </c>
      <c r="C19" t="inlineStr">
        <is>
          <t>Paris</t>
        </is>
      </c>
      <c r="D19" t="n">
        <v>26.46</v>
      </c>
      <c r="E19" t="n">
        <v>352942.3226686263</v>
      </c>
      <c r="F19" t="n">
        <v>0</v>
      </c>
      <c r="G19" t="n">
        <v>0</v>
      </c>
    </row>
    <row r="20">
      <c r="A20" t="inlineStr">
        <is>
          <t>2026-10</t>
        </is>
      </c>
      <c r="B20" t="inlineStr">
        <is>
          <t>S&amp;M</t>
        </is>
      </c>
      <c r="C20" t="inlineStr">
        <is>
          <t>Austin</t>
        </is>
      </c>
      <c r="D20" t="n">
        <v>27.44</v>
      </c>
      <c r="E20" t="n">
        <v>313958.0176898999</v>
      </c>
      <c r="F20" t="n">
        <v>16500</v>
      </c>
      <c r="G20" t="n">
        <v>3500</v>
      </c>
    </row>
    <row r="21">
      <c r="A21" t="inlineStr">
        <is>
          <t>2026-10</t>
        </is>
      </c>
      <c r="B21" t="inlineStr">
        <is>
          <t>S&amp;M</t>
        </is>
      </c>
      <c r="C21" t="inlineStr">
        <is>
          <t>Montreal</t>
        </is>
      </c>
      <c r="D21" t="n">
        <v>0.98</v>
      </c>
      <c r="E21" t="n">
        <v>10784.28655290167</v>
      </c>
      <c r="F21" t="n">
        <v>0</v>
      </c>
      <c r="G21" t="n">
        <v>0</v>
      </c>
    </row>
    <row r="22">
      <c r="A22" t="inlineStr">
        <is>
          <t>2026-11</t>
        </is>
      </c>
      <c r="B22" t="inlineStr">
        <is>
          <t>Customer Operations</t>
        </is>
      </c>
      <c r="C22" t="inlineStr">
        <is>
          <t>Austin</t>
        </is>
      </c>
      <c r="D22" t="n">
        <v>9.800000000000001</v>
      </c>
      <c r="E22" t="n">
        <v>104066.9314191799</v>
      </c>
      <c r="F22" t="n">
        <v>0</v>
      </c>
      <c r="G22" t="n">
        <v>0</v>
      </c>
    </row>
    <row r="23">
      <c r="A23" t="inlineStr">
        <is>
          <t>2026-11</t>
        </is>
      </c>
      <c r="B23" t="inlineStr">
        <is>
          <t>Customer Operations</t>
        </is>
      </c>
      <c r="C23" t="inlineStr">
        <is>
          <t>Montreal</t>
        </is>
      </c>
      <c r="D23" t="n">
        <v>15.68</v>
      </c>
      <c r="E23" t="n">
        <v>156735.7238089552</v>
      </c>
      <c r="F23" t="n">
        <v>0</v>
      </c>
      <c r="G23" t="n">
        <v>0</v>
      </c>
    </row>
    <row r="24">
      <c r="A24" t="inlineStr">
        <is>
          <t>2026-11</t>
        </is>
      </c>
      <c r="B24" t="inlineStr">
        <is>
          <t>Customer Operations</t>
        </is>
      </c>
      <c r="C24" t="inlineStr">
        <is>
          <t>Paris</t>
        </is>
      </c>
      <c r="D24" t="n">
        <v>0.98</v>
      </c>
      <c r="E24" t="n">
        <v>16098.82569117837</v>
      </c>
      <c r="F24" t="n">
        <v>0</v>
      </c>
      <c r="G24" t="n">
        <v>0</v>
      </c>
    </row>
    <row r="25">
      <c r="A25" t="inlineStr">
        <is>
          <t>2026-11</t>
        </is>
      </c>
      <c r="B25" t="inlineStr">
        <is>
          <t>G&amp;A</t>
        </is>
      </c>
      <c r="C25" t="inlineStr">
        <is>
          <t>Austin</t>
        </is>
      </c>
      <c r="D25" t="n">
        <v>0.98</v>
      </c>
      <c r="E25" t="n">
        <v>36328.6487045382</v>
      </c>
      <c r="F25" t="n">
        <v>0</v>
      </c>
      <c r="G25" t="n">
        <v>0</v>
      </c>
    </row>
    <row r="26">
      <c r="A26" t="inlineStr">
        <is>
          <t>2026-11</t>
        </is>
      </c>
      <c r="B26" t="inlineStr">
        <is>
          <t>G&amp;A</t>
        </is>
      </c>
      <c r="C26" t="inlineStr">
        <is>
          <t>Montreal</t>
        </is>
      </c>
      <c r="D26" t="n">
        <v>13.72</v>
      </c>
      <c r="E26" t="n">
        <v>211495.0154481551</v>
      </c>
      <c r="F26" t="n">
        <v>0</v>
      </c>
      <c r="G26" t="n">
        <v>0</v>
      </c>
    </row>
    <row r="27">
      <c r="A27" t="inlineStr">
        <is>
          <t>2026-11</t>
        </is>
      </c>
      <c r="B27" t="inlineStr">
        <is>
          <t>R&amp;D</t>
        </is>
      </c>
      <c r="C27" t="inlineStr">
        <is>
          <t>Montreal</t>
        </is>
      </c>
      <c r="D27" t="n">
        <v>48.02</v>
      </c>
      <c r="E27" t="n">
        <v>609452.8407300349</v>
      </c>
      <c r="F27" t="n">
        <v>28500</v>
      </c>
      <c r="G27" t="n">
        <v>7000</v>
      </c>
    </row>
    <row r="28">
      <c r="A28" t="inlineStr">
        <is>
          <t>2026-11</t>
        </is>
      </c>
      <c r="B28" t="inlineStr">
        <is>
          <t>R&amp;D</t>
        </is>
      </c>
      <c r="C28" t="inlineStr">
        <is>
          <t>Paris</t>
        </is>
      </c>
      <c r="D28" t="n">
        <v>28.42</v>
      </c>
      <c r="E28" t="n">
        <v>373634.6960019596</v>
      </c>
      <c r="F28" t="n">
        <v>24000</v>
      </c>
      <c r="G28" t="n">
        <v>7000</v>
      </c>
    </row>
    <row r="29">
      <c r="A29" t="inlineStr">
        <is>
          <t>2026-11</t>
        </is>
      </c>
      <c r="B29" t="inlineStr">
        <is>
          <t>S&amp;M</t>
        </is>
      </c>
      <c r="C29" t="inlineStr">
        <is>
          <t>Austin</t>
        </is>
      </c>
      <c r="D29" t="n">
        <v>27.44</v>
      </c>
      <c r="E29" t="n">
        <v>313958.0176898999</v>
      </c>
      <c r="F29" t="n">
        <v>0</v>
      </c>
      <c r="G29" t="n">
        <v>0</v>
      </c>
    </row>
    <row r="30">
      <c r="A30" t="inlineStr">
        <is>
          <t>2026-11</t>
        </is>
      </c>
      <c r="B30" t="inlineStr">
        <is>
          <t>S&amp;M</t>
        </is>
      </c>
      <c r="C30" t="inlineStr">
        <is>
          <t>Montreal</t>
        </is>
      </c>
      <c r="D30" t="n">
        <v>0.98</v>
      </c>
      <c r="E30" t="n">
        <v>10784.28655290167</v>
      </c>
      <c r="F30" t="n">
        <v>0</v>
      </c>
      <c r="G30" t="n">
        <v>0</v>
      </c>
    </row>
    <row r="31">
      <c r="A31" t="inlineStr">
        <is>
          <t>2026-12</t>
        </is>
      </c>
      <c r="B31" t="inlineStr">
        <is>
          <t>Customer Operations</t>
        </is>
      </c>
      <c r="C31" t="inlineStr">
        <is>
          <t>Austin</t>
        </is>
      </c>
      <c r="D31" t="n">
        <v>9.800000000000001</v>
      </c>
      <c r="E31" t="n">
        <v>104066.9314191799</v>
      </c>
      <c r="F31" t="n">
        <v>0</v>
      </c>
      <c r="G31" t="n">
        <v>0</v>
      </c>
    </row>
    <row r="32">
      <c r="A32" t="inlineStr">
        <is>
          <t>2026-12</t>
        </is>
      </c>
      <c r="B32" t="inlineStr">
        <is>
          <t>Customer Operations</t>
        </is>
      </c>
      <c r="C32" t="inlineStr">
        <is>
          <t>Montreal</t>
        </is>
      </c>
      <c r="D32" t="n">
        <v>15.68</v>
      </c>
      <c r="E32" t="n">
        <v>156735.7238089552</v>
      </c>
      <c r="F32" t="n">
        <v>0</v>
      </c>
      <c r="G32" t="n">
        <v>0</v>
      </c>
    </row>
    <row r="33">
      <c r="A33" t="inlineStr">
        <is>
          <t>2026-12</t>
        </is>
      </c>
      <c r="B33" t="inlineStr">
        <is>
          <t>Customer Operations</t>
        </is>
      </c>
      <c r="C33" t="inlineStr">
        <is>
          <t>Paris</t>
        </is>
      </c>
      <c r="D33" t="n">
        <v>0.98</v>
      </c>
      <c r="E33" t="n">
        <v>16098.82569117837</v>
      </c>
      <c r="F33" t="n">
        <v>0</v>
      </c>
      <c r="G33" t="n">
        <v>0</v>
      </c>
    </row>
    <row r="34">
      <c r="A34" t="inlineStr">
        <is>
          <t>2026-12</t>
        </is>
      </c>
      <c r="B34" t="inlineStr">
        <is>
          <t>G&amp;A</t>
        </is>
      </c>
      <c r="C34" t="inlineStr">
        <is>
          <t>Austin</t>
        </is>
      </c>
      <c r="D34" t="n">
        <v>0.98</v>
      </c>
      <c r="E34" t="n">
        <v>36328.6487045382</v>
      </c>
      <c r="F34" t="n">
        <v>0</v>
      </c>
      <c r="G34" t="n">
        <v>0</v>
      </c>
    </row>
    <row r="35">
      <c r="A35" t="inlineStr">
        <is>
          <t>2026-12</t>
        </is>
      </c>
      <c r="B35" t="inlineStr">
        <is>
          <t>G&amp;A</t>
        </is>
      </c>
      <c r="C35" t="inlineStr">
        <is>
          <t>Montreal</t>
        </is>
      </c>
      <c r="D35" t="n">
        <v>13.72</v>
      </c>
      <c r="E35" t="n">
        <v>211495.0154481551</v>
      </c>
      <c r="F35" t="n">
        <v>0</v>
      </c>
      <c r="G35" t="n">
        <v>0</v>
      </c>
    </row>
    <row r="36">
      <c r="A36" t="inlineStr">
        <is>
          <t>2026-12</t>
        </is>
      </c>
      <c r="B36" t="inlineStr">
        <is>
          <t>R&amp;D</t>
        </is>
      </c>
      <c r="C36" t="inlineStr">
        <is>
          <t>Montreal</t>
        </is>
      </c>
      <c r="D36" t="n">
        <v>48.02</v>
      </c>
      <c r="E36" t="n">
        <v>609452.8407300349</v>
      </c>
      <c r="F36" t="n">
        <v>0</v>
      </c>
      <c r="G36" t="n">
        <v>0</v>
      </c>
    </row>
    <row r="37">
      <c r="A37" t="inlineStr">
        <is>
          <t>2026-12</t>
        </is>
      </c>
      <c r="B37" t="inlineStr">
        <is>
          <t>R&amp;D</t>
        </is>
      </c>
      <c r="C37" t="inlineStr">
        <is>
          <t>Paris</t>
        </is>
      </c>
      <c r="D37" t="n">
        <v>28.42</v>
      </c>
      <c r="E37" t="n">
        <v>373634.6960019596</v>
      </c>
      <c r="F37" t="n">
        <v>0</v>
      </c>
      <c r="G37" t="n">
        <v>0</v>
      </c>
    </row>
    <row r="38">
      <c r="A38" t="inlineStr">
        <is>
          <t>2026-12</t>
        </is>
      </c>
      <c r="B38" t="inlineStr">
        <is>
          <t>S&amp;M</t>
        </is>
      </c>
      <c r="C38" t="inlineStr">
        <is>
          <t>Austin</t>
        </is>
      </c>
      <c r="D38" t="n">
        <v>27.44</v>
      </c>
      <c r="E38" t="n">
        <v>313958.0176898999</v>
      </c>
      <c r="F38" t="n">
        <v>0</v>
      </c>
      <c r="G38" t="n">
        <v>0</v>
      </c>
    </row>
    <row r="39">
      <c r="A39" t="inlineStr">
        <is>
          <t>2026-12</t>
        </is>
      </c>
      <c r="B39" t="inlineStr">
        <is>
          <t>S&amp;M</t>
        </is>
      </c>
      <c r="C39" t="inlineStr">
        <is>
          <t>Montreal</t>
        </is>
      </c>
      <c r="D39" t="n">
        <v>0.98</v>
      </c>
      <c r="E39" t="n">
        <v>10784.28655290167</v>
      </c>
      <c r="F39" t="n">
        <v>0</v>
      </c>
      <c r="G39" t="n">
        <v>0</v>
      </c>
    </row>
    <row r="40">
      <c r="A40" t="inlineStr">
        <is>
          <t>2027-01</t>
        </is>
      </c>
      <c r="B40" t="inlineStr">
        <is>
          <t>Customer Operations</t>
        </is>
      </c>
      <c r="C40" t="inlineStr">
        <is>
          <t>Austin</t>
        </is>
      </c>
      <c r="D40" t="n">
        <v>9.800000000000001</v>
      </c>
      <c r="E40" t="n">
        <v>107709.2740188512</v>
      </c>
      <c r="F40" t="n">
        <v>0</v>
      </c>
      <c r="G40" t="n">
        <v>0</v>
      </c>
    </row>
    <row r="41">
      <c r="A41" t="inlineStr">
        <is>
          <t>2027-01</t>
        </is>
      </c>
      <c r="B41" t="inlineStr">
        <is>
          <t>Customer Operations</t>
        </is>
      </c>
      <c r="C41" t="inlineStr">
        <is>
          <t>Montreal</t>
        </is>
      </c>
      <c r="D41" t="n">
        <v>15.68</v>
      </c>
      <c r="E41" t="n">
        <v>162221.4741422686</v>
      </c>
      <c r="F41" t="n">
        <v>0</v>
      </c>
      <c r="G41" t="n">
        <v>0</v>
      </c>
    </row>
    <row r="42">
      <c r="A42" t="inlineStr">
        <is>
          <t>2027-01</t>
        </is>
      </c>
      <c r="B42" t="inlineStr">
        <is>
          <t>Customer Operations</t>
        </is>
      </c>
      <c r="C42" t="inlineStr">
        <is>
          <t>Paris</t>
        </is>
      </c>
      <c r="D42" t="n">
        <v>0.98</v>
      </c>
      <c r="E42" t="n">
        <v>16662.28459036961</v>
      </c>
      <c r="F42" t="n">
        <v>0</v>
      </c>
      <c r="G42" t="n">
        <v>0</v>
      </c>
    </row>
    <row r="43">
      <c r="A43" t="inlineStr">
        <is>
          <t>2027-01</t>
        </is>
      </c>
      <c r="B43" t="inlineStr">
        <is>
          <t>G&amp;A</t>
        </is>
      </c>
      <c r="C43" t="inlineStr">
        <is>
          <t>Austin</t>
        </is>
      </c>
      <c r="D43" t="n">
        <v>0.98</v>
      </c>
      <c r="E43" t="n">
        <v>37600.15140919702</v>
      </c>
      <c r="F43" t="n">
        <v>0</v>
      </c>
      <c r="G43" t="n">
        <v>0</v>
      </c>
    </row>
    <row r="44">
      <c r="A44" t="inlineStr">
        <is>
          <t>2027-01</t>
        </is>
      </c>
      <c r="B44" t="inlineStr">
        <is>
          <t>G&amp;A</t>
        </is>
      </c>
      <c r="C44" t="inlineStr">
        <is>
          <t>Montreal</t>
        </is>
      </c>
      <c r="D44" t="n">
        <v>14.7</v>
      </c>
      <c r="E44" t="n">
        <v>228149.5209888405</v>
      </c>
      <c r="F44" t="n">
        <v>13500</v>
      </c>
      <c r="G44" t="n">
        <v>3500</v>
      </c>
    </row>
    <row r="45">
      <c r="A45" t="inlineStr">
        <is>
          <t>2027-01</t>
        </is>
      </c>
      <c r="B45" t="inlineStr">
        <is>
          <t>R&amp;D</t>
        </is>
      </c>
      <c r="C45" t="inlineStr">
        <is>
          <t>Montreal</t>
        </is>
      </c>
      <c r="D45" t="n">
        <v>49</v>
      </c>
      <c r="E45" t="n">
        <v>643119.930155586</v>
      </c>
      <c r="F45" t="n">
        <v>18000</v>
      </c>
      <c r="G45" t="n">
        <v>3500</v>
      </c>
    </row>
    <row r="46">
      <c r="A46" t="inlineStr">
        <is>
          <t>2027-01</t>
        </is>
      </c>
      <c r="B46" t="inlineStr">
        <is>
          <t>R&amp;D</t>
        </is>
      </c>
      <c r="C46" t="inlineStr">
        <is>
          <t>Paris</t>
        </is>
      </c>
      <c r="D46" t="n">
        <v>30.38</v>
      </c>
      <c r="E46" t="n">
        <v>411284.1036953615</v>
      </c>
      <c r="F46" t="n">
        <v>28500</v>
      </c>
      <c r="G46" t="n">
        <v>7000</v>
      </c>
    </row>
    <row r="47">
      <c r="A47" t="inlineStr">
        <is>
          <t>2027-01</t>
        </is>
      </c>
      <c r="B47" t="inlineStr">
        <is>
          <t>S&amp;M</t>
        </is>
      </c>
      <c r="C47" t="inlineStr">
        <is>
          <t>Austin</t>
        </is>
      </c>
      <c r="D47" t="n">
        <v>31.36</v>
      </c>
      <c r="E47" t="n">
        <v>359961.1316423797</v>
      </c>
      <c r="F47" t="n">
        <v>52500</v>
      </c>
      <c r="G47" t="n">
        <v>14000</v>
      </c>
    </row>
    <row r="48">
      <c r="A48" t="inlineStr">
        <is>
          <t>2027-01</t>
        </is>
      </c>
      <c r="B48" t="inlineStr">
        <is>
          <t>S&amp;M</t>
        </is>
      </c>
      <c r="C48" t="inlineStr">
        <is>
          <t>Montreal</t>
        </is>
      </c>
      <c r="D48" t="n">
        <v>0.98</v>
      </c>
      <c r="E48" t="n">
        <v>11161.73658225323</v>
      </c>
      <c r="F48" t="n">
        <v>0</v>
      </c>
      <c r="G48" t="n">
        <v>0</v>
      </c>
    </row>
    <row r="49">
      <c r="A49" t="inlineStr">
        <is>
          <t>2027-02</t>
        </is>
      </c>
      <c r="B49" t="inlineStr">
        <is>
          <t>Customer Operations</t>
        </is>
      </c>
      <c r="C49" t="inlineStr">
        <is>
          <t>Austin</t>
        </is>
      </c>
      <c r="D49" t="n">
        <v>9.800000000000001</v>
      </c>
      <c r="E49" t="n">
        <v>107709.2740188512</v>
      </c>
      <c r="F49" t="n">
        <v>0</v>
      </c>
      <c r="G49" t="n">
        <v>0</v>
      </c>
    </row>
    <row r="50">
      <c r="A50" t="inlineStr">
        <is>
          <t>2027-02</t>
        </is>
      </c>
      <c r="B50" t="inlineStr">
        <is>
          <t>Customer Operations</t>
        </is>
      </c>
      <c r="C50" t="inlineStr">
        <is>
          <t>Montreal</t>
        </is>
      </c>
      <c r="D50" t="n">
        <v>15.68</v>
      </c>
      <c r="E50" t="n">
        <v>162221.4741422686</v>
      </c>
      <c r="F50" t="n">
        <v>0</v>
      </c>
      <c r="G50" t="n">
        <v>0</v>
      </c>
    </row>
    <row r="51">
      <c r="A51" t="inlineStr">
        <is>
          <t>2027-02</t>
        </is>
      </c>
      <c r="B51" t="inlineStr">
        <is>
          <t>Customer Operations</t>
        </is>
      </c>
      <c r="C51" t="inlineStr">
        <is>
          <t>Paris</t>
        </is>
      </c>
      <c r="D51" t="n">
        <v>0.98</v>
      </c>
      <c r="E51" t="n">
        <v>16662.28459036961</v>
      </c>
      <c r="F51" t="n">
        <v>0</v>
      </c>
      <c r="G51" t="n">
        <v>0</v>
      </c>
    </row>
    <row r="52">
      <c r="A52" t="inlineStr">
        <is>
          <t>2027-02</t>
        </is>
      </c>
      <c r="B52" t="inlineStr">
        <is>
          <t>G&amp;A</t>
        </is>
      </c>
      <c r="C52" t="inlineStr">
        <is>
          <t>Austin</t>
        </is>
      </c>
      <c r="D52" t="n">
        <v>0.98</v>
      </c>
      <c r="E52" t="n">
        <v>37600.15140919702</v>
      </c>
      <c r="F52" t="n">
        <v>0</v>
      </c>
      <c r="G52" t="n">
        <v>0</v>
      </c>
    </row>
    <row r="53">
      <c r="A53" t="inlineStr">
        <is>
          <t>2027-02</t>
        </is>
      </c>
      <c r="B53" t="inlineStr">
        <is>
          <t>G&amp;A</t>
        </is>
      </c>
      <c r="C53" t="inlineStr">
        <is>
          <t>Montreal</t>
        </is>
      </c>
      <c r="D53" t="n">
        <v>14.7</v>
      </c>
      <c r="E53" t="n">
        <v>228149.5209888405</v>
      </c>
      <c r="F53" t="n">
        <v>0</v>
      </c>
      <c r="G53" t="n">
        <v>0</v>
      </c>
    </row>
    <row r="54">
      <c r="A54" t="inlineStr">
        <is>
          <t>2027-02</t>
        </is>
      </c>
      <c r="B54" t="inlineStr">
        <is>
          <t>R&amp;D</t>
        </is>
      </c>
      <c r="C54" t="inlineStr">
        <is>
          <t>Montreal</t>
        </is>
      </c>
      <c r="D54" t="n">
        <v>49</v>
      </c>
      <c r="E54" t="n">
        <v>643119.930155586</v>
      </c>
      <c r="F54" t="n">
        <v>0</v>
      </c>
      <c r="G54" t="n">
        <v>0</v>
      </c>
    </row>
    <row r="55">
      <c r="A55" t="inlineStr">
        <is>
          <t>2027-02</t>
        </is>
      </c>
      <c r="B55" t="inlineStr">
        <is>
          <t>R&amp;D</t>
        </is>
      </c>
      <c r="C55" t="inlineStr">
        <is>
          <t>Paris</t>
        </is>
      </c>
      <c r="D55" t="n">
        <v>31.36</v>
      </c>
      <c r="E55" t="n">
        <v>424863.4736953615</v>
      </c>
      <c r="F55" t="n">
        <v>15750</v>
      </c>
      <c r="G55" t="n">
        <v>3500</v>
      </c>
    </row>
    <row r="56">
      <c r="A56" t="inlineStr">
        <is>
          <t>2027-02</t>
        </is>
      </c>
      <c r="B56" t="inlineStr">
        <is>
          <t>S&amp;M</t>
        </is>
      </c>
      <c r="C56" t="inlineStr">
        <is>
          <t>Austin</t>
        </is>
      </c>
      <c r="D56" t="n">
        <v>32.34</v>
      </c>
      <c r="E56" t="n">
        <v>372816.7716423798</v>
      </c>
      <c r="F56" t="n">
        <v>18000</v>
      </c>
      <c r="G56" t="n">
        <v>3500</v>
      </c>
    </row>
    <row r="57">
      <c r="A57" t="inlineStr">
        <is>
          <t>2027-02</t>
        </is>
      </c>
      <c r="B57" t="inlineStr">
        <is>
          <t>S&amp;M</t>
        </is>
      </c>
      <c r="C57" t="inlineStr">
        <is>
          <t>Montreal</t>
        </is>
      </c>
      <c r="D57" t="n">
        <v>0.98</v>
      </c>
      <c r="E57" t="n">
        <v>11161.73658225323</v>
      </c>
      <c r="F57" t="n">
        <v>0</v>
      </c>
      <c r="G57" t="n">
        <v>0</v>
      </c>
    </row>
    <row r="58">
      <c r="A58" t="inlineStr">
        <is>
          <t>2027-03</t>
        </is>
      </c>
      <c r="B58" t="inlineStr">
        <is>
          <t>Customer Operations</t>
        </is>
      </c>
      <c r="C58" t="inlineStr">
        <is>
          <t>Austin</t>
        </is>
      </c>
      <c r="D58" t="n">
        <v>9.800000000000001</v>
      </c>
      <c r="E58" t="n">
        <v>107709.2740188512</v>
      </c>
      <c r="F58" t="n">
        <v>0</v>
      </c>
      <c r="G58" t="n">
        <v>0</v>
      </c>
    </row>
    <row r="59">
      <c r="A59" t="inlineStr">
        <is>
          <t>2027-03</t>
        </is>
      </c>
      <c r="B59" t="inlineStr">
        <is>
          <t>Customer Operations</t>
        </is>
      </c>
      <c r="C59" t="inlineStr">
        <is>
          <t>Montreal</t>
        </is>
      </c>
      <c r="D59" t="n">
        <v>15.68</v>
      </c>
      <c r="E59" t="n">
        <v>162221.4741422686</v>
      </c>
      <c r="F59" t="n">
        <v>0</v>
      </c>
      <c r="G59" t="n">
        <v>0</v>
      </c>
    </row>
    <row r="60">
      <c r="A60" t="inlineStr">
        <is>
          <t>2027-03</t>
        </is>
      </c>
      <c r="B60" t="inlineStr">
        <is>
          <t>Customer Operations</t>
        </is>
      </c>
      <c r="C60" t="inlineStr">
        <is>
          <t>Paris</t>
        </is>
      </c>
      <c r="D60" t="n">
        <v>0.98</v>
      </c>
      <c r="E60" t="n">
        <v>16662.28459036961</v>
      </c>
      <c r="F60" t="n">
        <v>0</v>
      </c>
      <c r="G60" t="n">
        <v>0</v>
      </c>
    </row>
    <row r="61">
      <c r="A61" t="inlineStr">
        <is>
          <t>2027-03</t>
        </is>
      </c>
      <c r="B61" t="inlineStr">
        <is>
          <t>G&amp;A</t>
        </is>
      </c>
      <c r="C61" t="inlineStr">
        <is>
          <t>Austin</t>
        </is>
      </c>
      <c r="D61" t="n">
        <v>0.98</v>
      </c>
      <c r="E61" t="n">
        <v>37600.15140919702</v>
      </c>
      <c r="F61" t="n">
        <v>0</v>
      </c>
      <c r="G61" t="n">
        <v>0</v>
      </c>
    </row>
    <row r="62">
      <c r="A62" t="inlineStr">
        <is>
          <t>2027-03</t>
        </is>
      </c>
      <c r="B62" t="inlineStr">
        <is>
          <t>G&amp;A</t>
        </is>
      </c>
      <c r="C62" t="inlineStr">
        <is>
          <t>Montreal</t>
        </is>
      </c>
      <c r="D62" t="n">
        <v>14.7</v>
      </c>
      <c r="E62" t="n">
        <v>228149.5209888405</v>
      </c>
      <c r="F62" t="n">
        <v>0</v>
      </c>
      <c r="G62" t="n">
        <v>0</v>
      </c>
    </row>
    <row r="63">
      <c r="A63" t="inlineStr">
        <is>
          <t>2027-03</t>
        </is>
      </c>
      <c r="B63" t="inlineStr">
        <is>
          <t>R&amp;D</t>
        </is>
      </c>
      <c r="C63" t="inlineStr">
        <is>
          <t>Montreal</t>
        </is>
      </c>
      <c r="D63" t="n">
        <v>50.96</v>
      </c>
      <c r="E63" t="n">
        <v>662652.310155586</v>
      </c>
      <c r="F63" t="n">
        <v>28500</v>
      </c>
      <c r="G63" t="n">
        <v>7000</v>
      </c>
    </row>
    <row r="64">
      <c r="A64" t="inlineStr">
        <is>
          <t>2027-03</t>
        </is>
      </c>
      <c r="B64" t="inlineStr">
        <is>
          <t>R&amp;D</t>
        </is>
      </c>
      <c r="C64" t="inlineStr">
        <is>
          <t>Paris</t>
        </is>
      </c>
      <c r="D64" t="n">
        <v>31.36</v>
      </c>
      <c r="E64" t="n">
        <v>424863.4736953615</v>
      </c>
      <c r="F64" t="n">
        <v>0</v>
      </c>
      <c r="G64" t="n">
        <v>0</v>
      </c>
    </row>
    <row r="65">
      <c r="A65" t="inlineStr">
        <is>
          <t>2027-03</t>
        </is>
      </c>
      <c r="B65" t="inlineStr">
        <is>
          <t>S&amp;M</t>
        </is>
      </c>
      <c r="C65" t="inlineStr">
        <is>
          <t>Austin</t>
        </is>
      </c>
      <c r="D65" t="n">
        <v>32.34</v>
      </c>
      <c r="E65" t="n">
        <v>372816.7716423798</v>
      </c>
      <c r="F65" t="n">
        <v>0</v>
      </c>
      <c r="G65" t="n">
        <v>0</v>
      </c>
    </row>
    <row r="66">
      <c r="A66" t="inlineStr">
        <is>
          <t>2027-03</t>
        </is>
      </c>
      <c r="B66" t="inlineStr">
        <is>
          <t>S&amp;M</t>
        </is>
      </c>
      <c r="C66" t="inlineStr">
        <is>
          <t>Montreal</t>
        </is>
      </c>
      <c r="D66" t="n">
        <v>0.98</v>
      </c>
      <c r="E66" t="n">
        <v>11161.73658225323</v>
      </c>
      <c r="F66" t="n">
        <v>0</v>
      </c>
      <c r="G66" t="n">
        <v>0</v>
      </c>
    </row>
    <row r="67">
      <c r="A67" t="inlineStr">
        <is>
          <t>2027-04</t>
        </is>
      </c>
      <c r="B67" t="inlineStr">
        <is>
          <t>Customer Operations</t>
        </is>
      </c>
      <c r="C67" t="inlineStr">
        <is>
          <t>Austin</t>
        </is>
      </c>
      <c r="D67" t="n">
        <v>9.800000000000001</v>
      </c>
      <c r="E67" t="n">
        <v>107709.2740188512</v>
      </c>
      <c r="F67" t="n">
        <v>0</v>
      </c>
      <c r="G67" t="n">
        <v>0</v>
      </c>
    </row>
    <row r="68">
      <c r="A68" t="inlineStr">
        <is>
          <t>2027-04</t>
        </is>
      </c>
      <c r="B68" t="inlineStr">
        <is>
          <t>Customer Operations</t>
        </is>
      </c>
      <c r="C68" t="inlineStr">
        <is>
          <t>Montreal</t>
        </is>
      </c>
      <c r="D68" t="n">
        <v>15.68</v>
      </c>
      <c r="E68" t="n">
        <v>162221.4741422686</v>
      </c>
      <c r="F68" t="n">
        <v>0</v>
      </c>
      <c r="G68" t="n">
        <v>0</v>
      </c>
    </row>
    <row r="69">
      <c r="A69" t="inlineStr">
        <is>
          <t>2027-04</t>
        </is>
      </c>
      <c r="B69" t="inlineStr">
        <is>
          <t>Customer Operations</t>
        </is>
      </c>
      <c r="C69" t="inlineStr">
        <is>
          <t>Paris</t>
        </is>
      </c>
      <c r="D69" t="n">
        <v>0.98</v>
      </c>
      <c r="E69" t="n">
        <v>16662.28459036961</v>
      </c>
      <c r="F69" t="n">
        <v>0</v>
      </c>
      <c r="G69" t="n">
        <v>0</v>
      </c>
    </row>
    <row r="70">
      <c r="A70" t="inlineStr">
        <is>
          <t>2027-04</t>
        </is>
      </c>
      <c r="B70" t="inlineStr">
        <is>
          <t>G&amp;A</t>
        </is>
      </c>
      <c r="C70" t="inlineStr">
        <is>
          <t>Austin</t>
        </is>
      </c>
      <c r="D70" t="n">
        <v>0.98</v>
      </c>
      <c r="E70" t="n">
        <v>37600.15140919702</v>
      </c>
      <c r="F70" t="n">
        <v>0</v>
      </c>
      <c r="G70" t="n">
        <v>0</v>
      </c>
    </row>
    <row r="71">
      <c r="A71" t="inlineStr">
        <is>
          <t>2027-04</t>
        </is>
      </c>
      <c r="B71" t="inlineStr">
        <is>
          <t>G&amp;A</t>
        </is>
      </c>
      <c r="C71" t="inlineStr">
        <is>
          <t>Montreal</t>
        </is>
      </c>
      <c r="D71" t="n">
        <v>14.7</v>
      </c>
      <c r="E71" t="n">
        <v>228149.5209888405</v>
      </c>
      <c r="F71" t="n">
        <v>0</v>
      </c>
      <c r="G71" t="n">
        <v>0</v>
      </c>
    </row>
    <row r="72">
      <c r="A72" t="inlineStr">
        <is>
          <t>2027-04</t>
        </is>
      </c>
      <c r="B72" t="inlineStr">
        <is>
          <t>R&amp;D</t>
        </is>
      </c>
      <c r="C72" t="inlineStr">
        <is>
          <t>Montreal</t>
        </is>
      </c>
      <c r="D72" t="n">
        <v>50.96</v>
      </c>
      <c r="E72" t="n">
        <v>662652.310155586</v>
      </c>
      <c r="F72" t="n">
        <v>0</v>
      </c>
      <c r="G72" t="n">
        <v>0</v>
      </c>
    </row>
    <row r="73">
      <c r="A73" t="inlineStr">
        <is>
          <t>2027-04</t>
        </is>
      </c>
      <c r="B73" t="inlineStr">
        <is>
          <t>R&amp;D</t>
        </is>
      </c>
      <c r="C73" t="inlineStr">
        <is>
          <t>Paris</t>
        </is>
      </c>
      <c r="D73" t="n">
        <v>31.36</v>
      </c>
      <c r="E73" t="n">
        <v>424863.4736953615</v>
      </c>
      <c r="F73" t="n">
        <v>0</v>
      </c>
      <c r="G73" t="n">
        <v>0</v>
      </c>
    </row>
    <row r="74">
      <c r="A74" t="inlineStr">
        <is>
          <t>2027-04</t>
        </is>
      </c>
      <c r="B74" t="inlineStr">
        <is>
          <t>S&amp;M</t>
        </is>
      </c>
      <c r="C74" t="inlineStr">
        <is>
          <t>Austin</t>
        </is>
      </c>
      <c r="D74" t="n">
        <v>33.32</v>
      </c>
      <c r="E74" t="n">
        <v>383821.3549757131</v>
      </c>
      <c r="F74" t="n">
        <v>16500</v>
      </c>
      <c r="G74" t="n">
        <v>3500</v>
      </c>
    </row>
    <row r="75">
      <c r="A75" t="inlineStr">
        <is>
          <t>2027-04</t>
        </is>
      </c>
      <c r="B75" t="inlineStr">
        <is>
          <t>S&amp;M</t>
        </is>
      </c>
      <c r="C75" t="inlineStr">
        <is>
          <t>Montreal</t>
        </is>
      </c>
      <c r="D75" t="n">
        <v>0.98</v>
      </c>
      <c r="E75" t="n">
        <v>11161.73658225323</v>
      </c>
      <c r="F75" t="n">
        <v>0</v>
      </c>
      <c r="G75" t="n">
        <v>0</v>
      </c>
    </row>
    <row r="76">
      <c r="A76" t="inlineStr">
        <is>
          <t>2027-05</t>
        </is>
      </c>
      <c r="B76" t="inlineStr">
        <is>
          <t>Customer Operations</t>
        </is>
      </c>
      <c r="C76" t="inlineStr">
        <is>
          <t>Austin</t>
        </is>
      </c>
      <c r="D76" t="n">
        <v>9.800000000000001</v>
      </c>
      <c r="E76" t="n">
        <v>107709.2740188512</v>
      </c>
      <c r="F76" t="n">
        <v>0</v>
      </c>
      <c r="G76" t="n">
        <v>0</v>
      </c>
    </row>
    <row r="77">
      <c r="A77" t="inlineStr">
        <is>
          <t>2027-05</t>
        </is>
      </c>
      <c r="B77" t="inlineStr">
        <is>
          <t>Customer Operations</t>
        </is>
      </c>
      <c r="C77" t="inlineStr">
        <is>
          <t>Montreal</t>
        </is>
      </c>
      <c r="D77" t="n">
        <v>15.68</v>
      </c>
      <c r="E77" t="n">
        <v>162221.4741422686</v>
      </c>
      <c r="F77" t="n">
        <v>0</v>
      </c>
      <c r="G77" t="n">
        <v>0</v>
      </c>
    </row>
    <row r="78">
      <c r="A78" t="inlineStr">
        <is>
          <t>2027-05</t>
        </is>
      </c>
      <c r="B78" t="inlineStr">
        <is>
          <t>Customer Operations</t>
        </is>
      </c>
      <c r="C78" t="inlineStr">
        <is>
          <t>Paris</t>
        </is>
      </c>
      <c r="D78" t="n">
        <v>0.98</v>
      </c>
      <c r="E78" t="n">
        <v>16662.28459036961</v>
      </c>
      <c r="F78" t="n">
        <v>0</v>
      </c>
      <c r="G78" t="n">
        <v>0</v>
      </c>
    </row>
    <row r="79">
      <c r="A79" t="inlineStr">
        <is>
          <t>2027-05</t>
        </is>
      </c>
      <c r="B79" t="inlineStr">
        <is>
          <t>G&amp;A</t>
        </is>
      </c>
      <c r="C79" t="inlineStr">
        <is>
          <t>Austin</t>
        </is>
      </c>
      <c r="D79" t="n">
        <v>0.98</v>
      </c>
      <c r="E79" t="n">
        <v>37600.15140919702</v>
      </c>
      <c r="F79" t="n">
        <v>0</v>
      </c>
      <c r="G79" t="n">
        <v>0</v>
      </c>
    </row>
    <row r="80">
      <c r="A80" t="inlineStr">
        <is>
          <t>2027-05</t>
        </is>
      </c>
      <c r="B80" t="inlineStr">
        <is>
          <t>G&amp;A</t>
        </is>
      </c>
      <c r="C80" t="inlineStr">
        <is>
          <t>Montreal</t>
        </is>
      </c>
      <c r="D80" t="n">
        <v>14.7</v>
      </c>
      <c r="E80" t="n">
        <v>228149.5209888405</v>
      </c>
      <c r="F80" t="n">
        <v>0</v>
      </c>
      <c r="G80" t="n">
        <v>0</v>
      </c>
    </row>
    <row r="81">
      <c r="A81" t="inlineStr">
        <is>
          <t>2027-05</t>
        </is>
      </c>
      <c r="B81" t="inlineStr">
        <is>
          <t>R&amp;D</t>
        </is>
      </c>
      <c r="C81" t="inlineStr">
        <is>
          <t>Montreal</t>
        </is>
      </c>
      <c r="D81" t="n">
        <v>50.96</v>
      </c>
      <c r="E81" t="n">
        <v>662652.310155586</v>
      </c>
      <c r="F81" t="n">
        <v>0</v>
      </c>
      <c r="G81" t="n">
        <v>0</v>
      </c>
    </row>
    <row r="82">
      <c r="A82" t="inlineStr">
        <is>
          <t>2027-05</t>
        </is>
      </c>
      <c r="B82" t="inlineStr">
        <is>
          <t>R&amp;D</t>
        </is>
      </c>
      <c r="C82" t="inlineStr">
        <is>
          <t>Paris</t>
        </is>
      </c>
      <c r="D82" t="n">
        <v>33.32</v>
      </c>
      <c r="E82" t="n">
        <v>445555.8470286949</v>
      </c>
      <c r="F82" t="n">
        <v>24000</v>
      </c>
      <c r="G82" t="n">
        <v>7000</v>
      </c>
    </row>
    <row r="83">
      <c r="A83" t="inlineStr">
        <is>
          <t>2027-05</t>
        </is>
      </c>
      <c r="B83" t="inlineStr">
        <is>
          <t>S&amp;M</t>
        </is>
      </c>
      <c r="C83" t="inlineStr">
        <is>
          <t>Austin</t>
        </is>
      </c>
      <c r="D83" t="n">
        <v>33.32</v>
      </c>
      <c r="E83" t="n">
        <v>383821.3549757131</v>
      </c>
      <c r="F83" t="n">
        <v>0</v>
      </c>
      <c r="G83" t="n">
        <v>0</v>
      </c>
    </row>
    <row r="84">
      <c r="A84" t="inlineStr">
        <is>
          <t>2027-05</t>
        </is>
      </c>
      <c r="B84" t="inlineStr">
        <is>
          <t>S&amp;M</t>
        </is>
      </c>
      <c r="C84" t="inlineStr">
        <is>
          <t>Montreal</t>
        </is>
      </c>
      <c r="D84" t="n">
        <v>0.98</v>
      </c>
      <c r="E84" t="n">
        <v>11161.73658225323</v>
      </c>
      <c r="F84" t="n">
        <v>0</v>
      </c>
      <c r="G84" t="n">
        <v>0</v>
      </c>
    </row>
    <row r="85">
      <c r="A85" t="inlineStr">
        <is>
          <t>2027-06</t>
        </is>
      </c>
      <c r="B85" t="inlineStr">
        <is>
          <t>Customer Operations</t>
        </is>
      </c>
      <c r="C85" t="inlineStr">
        <is>
          <t>Austin</t>
        </is>
      </c>
      <c r="D85" t="n">
        <v>9.800000000000001</v>
      </c>
      <c r="E85" t="n">
        <v>107709.2740188512</v>
      </c>
      <c r="F85" t="n">
        <v>0</v>
      </c>
      <c r="G85" t="n">
        <v>0</v>
      </c>
    </row>
    <row r="86">
      <c r="A86" t="inlineStr">
        <is>
          <t>2027-06</t>
        </is>
      </c>
      <c r="B86" t="inlineStr">
        <is>
          <t>Customer Operations</t>
        </is>
      </c>
      <c r="C86" t="inlineStr">
        <is>
          <t>Montreal</t>
        </is>
      </c>
      <c r="D86" t="n">
        <v>15.68</v>
      </c>
      <c r="E86" t="n">
        <v>162221.4741422686</v>
      </c>
      <c r="F86" t="n">
        <v>0</v>
      </c>
      <c r="G86" t="n">
        <v>0</v>
      </c>
    </row>
    <row r="87">
      <c r="A87" t="inlineStr">
        <is>
          <t>2027-06</t>
        </is>
      </c>
      <c r="B87" t="inlineStr">
        <is>
          <t>Customer Operations</t>
        </is>
      </c>
      <c r="C87" t="inlineStr">
        <is>
          <t>Paris</t>
        </is>
      </c>
      <c r="D87" t="n">
        <v>0.98</v>
      </c>
      <c r="E87" t="n">
        <v>16662.28459036961</v>
      </c>
      <c r="F87" t="n">
        <v>0</v>
      </c>
      <c r="G87" t="n">
        <v>0</v>
      </c>
    </row>
    <row r="88">
      <c r="A88" t="inlineStr">
        <is>
          <t>2027-06</t>
        </is>
      </c>
      <c r="B88" t="inlineStr">
        <is>
          <t>G&amp;A</t>
        </is>
      </c>
      <c r="C88" t="inlineStr">
        <is>
          <t>Austin</t>
        </is>
      </c>
      <c r="D88" t="n">
        <v>0.98</v>
      </c>
      <c r="E88" t="n">
        <v>37600.15140919702</v>
      </c>
      <c r="F88" t="n">
        <v>0</v>
      </c>
      <c r="G88" t="n">
        <v>0</v>
      </c>
    </row>
    <row r="89">
      <c r="A89" t="inlineStr">
        <is>
          <t>2027-06</t>
        </is>
      </c>
      <c r="B89" t="inlineStr">
        <is>
          <t>G&amp;A</t>
        </is>
      </c>
      <c r="C89" t="inlineStr">
        <is>
          <t>Montreal</t>
        </is>
      </c>
      <c r="D89" t="n">
        <v>14.7</v>
      </c>
      <c r="E89" t="n">
        <v>228149.5209888405</v>
      </c>
      <c r="F89" t="n">
        <v>0</v>
      </c>
      <c r="G89" t="n">
        <v>0</v>
      </c>
    </row>
    <row r="90">
      <c r="A90" t="inlineStr">
        <is>
          <t>2027-06</t>
        </is>
      </c>
      <c r="B90" t="inlineStr">
        <is>
          <t>R&amp;D</t>
        </is>
      </c>
      <c r="C90" t="inlineStr">
        <is>
          <t>Montreal</t>
        </is>
      </c>
      <c r="D90" t="n">
        <v>50.96</v>
      </c>
      <c r="E90" t="n">
        <v>662652.310155586</v>
      </c>
      <c r="F90" t="n">
        <v>0</v>
      </c>
      <c r="G90" t="n">
        <v>0</v>
      </c>
    </row>
    <row r="91">
      <c r="A91" t="inlineStr">
        <is>
          <t>2027-06</t>
        </is>
      </c>
      <c r="B91" t="inlineStr">
        <is>
          <t>R&amp;D</t>
        </is>
      </c>
      <c r="C91" t="inlineStr">
        <is>
          <t>Paris</t>
        </is>
      </c>
      <c r="D91" t="n">
        <v>33.32</v>
      </c>
      <c r="E91" t="n">
        <v>445555.8470286949</v>
      </c>
      <c r="F91" t="n">
        <v>0</v>
      </c>
      <c r="G91" t="n">
        <v>0</v>
      </c>
    </row>
    <row r="92">
      <c r="A92" t="inlineStr">
        <is>
          <t>2027-06</t>
        </is>
      </c>
      <c r="B92" t="inlineStr">
        <is>
          <t>S&amp;M</t>
        </is>
      </c>
      <c r="C92" t="inlineStr">
        <is>
          <t>Austin</t>
        </is>
      </c>
      <c r="D92" t="n">
        <v>33.32</v>
      </c>
      <c r="E92" t="n">
        <v>383821.3549757131</v>
      </c>
      <c r="F92" t="n">
        <v>0</v>
      </c>
      <c r="G92" t="n">
        <v>0</v>
      </c>
    </row>
    <row r="93">
      <c r="A93" t="inlineStr">
        <is>
          <t>2027-06</t>
        </is>
      </c>
      <c r="B93" t="inlineStr">
        <is>
          <t>S&amp;M</t>
        </is>
      </c>
      <c r="C93" t="inlineStr">
        <is>
          <t>Montreal</t>
        </is>
      </c>
      <c r="D93" t="n">
        <v>0.98</v>
      </c>
      <c r="E93" t="n">
        <v>11161.73658225323</v>
      </c>
      <c r="F93" t="n">
        <v>0</v>
      </c>
      <c r="G93" t="n">
        <v>0</v>
      </c>
    </row>
    <row r="94">
      <c r="A94" t="inlineStr">
        <is>
          <t>2027-07</t>
        </is>
      </c>
      <c r="B94" t="inlineStr">
        <is>
          <t>Customer Operations</t>
        </is>
      </c>
      <c r="C94" t="inlineStr">
        <is>
          <t>Austin</t>
        </is>
      </c>
      <c r="D94" t="n">
        <v>9.800000000000001</v>
      </c>
      <c r="E94" t="n">
        <v>107709.2740188512</v>
      </c>
      <c r="F94" t="n">
        <v>0</v>
      </c>
      <c r="G94" t="n">
        <v>0</v>
      </c>
    </row>
    <row r="95">
      <c r="A95" t="inlineStr">
        <is>
          <t>2027-07</t>
        </is>
      </c>
      <c r="B95" t="inlineStr">
        <is>
          <t>Customer Operations</t>
        </is>
      </c>
      <c r="C95" t="inlineStr">
        <is>
          <t>Montreal</t>
        </is>
      </c>
      <c r="D95" t="n">
        <v>15.68</v>
      </c>
      <c r="E95" t="n">
        <v>162221.4741422686</v>
      </c>
      <c r="F95" t="n">
        <v>0</v>
      </c>
      <c r="G95" t="n">
        <v>0</v>
      </c>
    </row>
    <row r="96">
      <c r="A96" t="inlineStr">
        <is>
          <t>2027-07</t>
        </is>
      </c>
      <c r="B96" t="inlineStr">
        <is>
          <t>Customer Operations</t>
        </is>
      </c>
      <c r="C96" t="inlineStr">
        <is>
          <t>Paris</t>
        </is>
      </c>
      <c r="D96" t="n">
        <v>0.98</v>
      </c>
      <c r="E96" t="n">
        <v>16662.28459036961</v>
      </c>
      <c r="F96" t="n">
        <v>0</v>
      </c>
      <c r="G96" t="n">
        <v>0</v>
      </c>
    </row>
    <row r="97">
      <c r="A97" t="inlineStr">
        <is>
          <t>2027-07</t>
        </is>
      </c>
      <c r="B97" t="inlineStr">
        <is>
          <t>G&amp;A</t>
        </is>
      </c>
      <c r="C97" t="inlineStr">
        <is>
          <t>Austin</t>
        </is>
      </c>
      <c r="D97" t="n">
        <v>0.98</v>
      </c>
      <c r="E97" t="n">
        <v>37600.15140919702</v>
      </c>
      <c r="F97" t="n">
        <v>0</v>
      </c>
      <c r="G97" t="n">
        <v>0</v>
      </c>
    </row>
    <row r="98">
      <c r="A98" t="inlineStr">
        <is>
          <t>2027-07</t>
        </is>
      </c>
      <c r="B98" t="inlineStr">
        <is>
          <t>G&amp;A</t>
        </is>
      </c>
      <c r="C98" t="inlineStr">
        <is>
          <t>Montreal</t>
        </is>
      </c>
      <c r="D98" t="n">
        <v>14.7</v>
      </c>
      <c r="E98" t="n">
        <v>228149.5209888405</v>
      </c>
      <c r="F98" t="n">
        <v>0</v>
      </c>
      <c r="G98" t="n">
        <v>0</v>
      </c>
    </row>
    <row r="99">
      <c r="A99" t="inlineStr">
        <is>
          <t>2027-07</t>
        </is>
      </c>
      <c r="B99" t="inlineStr">
        <is>
          <t>R&amp;D</t>
        </is>
      </c>
      <c r="C99" t="inlineStr">
        <is>
          <t>Montreal</t>
        </is>
      </c>
      <c r="D99" t="n">
        <v>50.96</v>
      </c>
      <c r="E99" t="n">
        <v>662652.310155586</v>
      </c>
      <c r="F99" t="n">
        <v>0</v>
      </c>
      <c r="G99" t="n">
        <v>0</v>
      </c>
    </row>
    <row r="100">
      <c r="A100" t="inlineStr">
        <is>
          <t>2027-07</t>
        </is>
      </c>
      <c r="B100" t="inlineStr">
        <is>
          <t>R&amp;D</t>
        </is>
      </c>
      <c r="C100" t="inlineStr">
        <is>
          <t>Paris</t>
        </is>
      </c>
      <c r="D100" t="n">
        <v>33.32</v>
      </c>
      <c r="E100" t="n">
        <v>445555.8470286949</v>
      </c>
      <c r="F100" t="n">
        <v>0</v>
      </c>
      <c r="G100" t="n">
        <v>0</v>
      </c>
    </row>
    <row r="101">
      <c r="A101" t="inlineStr">
        <is>
          <t>2027-07</t>
        </is>
      </c>
      <c r="B101" t="inlineStr">
        <is>
          <t>S&amp;M</t>
        </is>
      </c>
      <c r="C101" t="inlineStr">
        <is>
          <t>Austin</t>
        </is>
      </c>
      <c r="D101" t="n">
        <v>33.32</v>
      </c>
      <c r="E101" t="n">
        <v>383821.3549757131</v>
      </c>
      <c r="F101" t="n">
        <v>0</v>
      </c>
      <c r="G101" t="n">
        <v>0</v>
      </c>
    </row>
    <row r="102">
      <c r="A102" t="inlineStr">
        <is>
          <t>2027-07</t>
        </is>
      </c>
      <c r="B102" t="inlineStr">
        <is>
          <t>S&amp;M</t>
        </is>
      </c>
      <c r="C102" t="inlineStr">
        <is>
          <t>Montreal</t>
        </is>
      </c>
      <c r="D102" t="n">
        <v>0.98</v>
      </c>
      <c r="E102" t="n">
        <v>11161.73658225323</v>
      </c>
      <c r="F102" t="n">
        <v>0</v>
      </c>
      <c r="G102" t="n">
        <v>0</v>
      </c>
    </row>
    <row r="103">
      <c r="A103" t="inlineStr">
        <is>
          <t>2027-08</t>
        </is>
      </c>
      <c r="B103" t="inlineStr">
        <is>
          <t>Customer Operations</t>
        </is>
      </c>
      <c r="C103" t="inlineStr">
        <is>
          <t>Austin</t>
        </is>
      </c>
      <c r="D103" t="n">
        <v>9.800000000000001</v>
      </c>
      <c r="E103" t="n">
        <v>107709.2740188512</v>
      </c>
      <c r="F103" t="n">
        <v>0</v>
      </c>
      <c r="G103" t="n">
        <v>0</v>
      </c>
    </row>
    <row r="104">
      <c r="A104" t="inlineStr">
        <is>
          <t>2027-08</t>
        </is>
      </c>
      <c r="B104" t="inlineStr">
        <is>
          <t>Customer Operations</t>
        </is>
      </c>
      <c r="C104" t="inlineStr">
        <is>
          <t>Montreal</t>
        </is>
      </c>
      <c r="D104" t="n">
        <v>15.68</v>
      </c>
      <c r="E104" t="n">
        <v>162221.4741422686</v>
      </c>
      <c r="F104" t="n">
        <v>0</v>
      </c>
      <c r="G104" t="n">
        <v>0</v>
      </c>
    </row>
    <row r="105">
      <c r="A105" t="inlineStr">
        <is>
          <t>2027-08</t>
        </is>
      </c>
      <c r="B105" t="inlineStr">
        <is>
          <t>Customer Operations</t>
        </is>
      </c>
      <c r="C105" t="inlineStr">
        <is>
          <t>Paris</t>
        </is>
      </c>
      <c r="D105" t="n">
        <v>0.98</v>
      </c>
      <c r="E105" t="n">
        <v>16662.28459036961</v>
      </c>
      <c r="F105" t="n">
        <v>0</v>
      </c>
      <c r="G105" t="n">
        <v>0</v>
      </c>
    </row>
    <row r="106">
      <c r="A106" t="inlineStr">
        <is>
          <t>2027-08</t>
        </is>
      </c>
      <c r="B106" t="inlineStr">
        <is>
          <t>G&amp;A</t>
        </is>
      </c>
      <c r="C106" t="inlineStr">
        <is>
          <t>Austin</t>
        </is>
      </c>
      <c r="D106" t="n">
        <v>0.98</v>
      </c>
      <c r="E106" t="n">
        <v>37600.15140919702</v>
      </c>
      <c r="F106" t="n">
        <v>0</v>
      </c>
      <c r="G106" t="n">
        <v>0</v>
      </c>
    </row>
    <row r="107">
      <c r="A107" t="inlineStr">
        <is>
          <t>2027-08</t>
        </is>
      </c>
      <c r="B107" t="inlineStr">
        <is>
          <t>G&amp;A</t>
        </is>
      </c>
      <c r="C107" t="inlineStr">
        <is>
          <t>Montreal</t>
        </is>
      </c>
      <c r="D107" t="n">
        <v>14.7</v>
      </c>
      <c r="E107" t="n">
        <v>228149.5209888405</v>
      </c>
      <c r="F107" t="n">
        <v>0</v>
      </c>
      <c r="G107" t="n">
        <v>0</v>
      </c>
    </row>
    <row r="108">
      <c r="A108" t="inlineStr">
        <is>
          <t>2027-08</t>
        </is>
      </c>
      <c r="B108" t="inlineStr">
        <is>
          <t>R&amp;D</t>
        </is>
      </c>
      <c r="C108" t="inlineStr">
        <is>
          <t>Montreal</t>
        </is>
      </c>
      <c r="D108" t="n">
        <v>50.96</v>
      </c>
      <c r="E108" t="n">
        <v>662652.310155586</v>
      </c>
      <c r="F108" t="n">
        <v>0</v>
      </c>
      <c r="G108" t="n">
        <v>0</v>
      </c>
    </row>
    <row r="109">
      <c r="A109" t="inlineStr">
        <is>
          <t>2027-08</t>
        </is>
      </c>
      <c r="B109" t="inlineStr">
        <is>
          <t>R&amp;D</t>
        </is>
      </c>
      <c r="C109" t="inlineStr">
        <is>
          <t>Paris</t>
        </is>
      </c>
      <c r="D109" t="n">
        <v>33.32</v>
      </c>
      <c r="E109" t="n">
        <v>445555.8470286949</v>
      </c>
      <c r="F109" t="n">
        <v>0</v>
      </c>
      <c r="G109" t="n">
        <v>0</v>
      </c>
    </row>
    <row r="110">
      <c r="A110" t="inlineStr">
        <is>
          <t>2027-08</t>
        </is>
      </c>
      <c r="B110" t="inlineStr">
        <is>
          <t>S&amp;M</t>
        </is>
      </c>
      <c r="C110" t="inlineStr">
        <is>
          <t>Austin</t>
        </is>
      </c>
      <c r="D110" t="n">
        <v>33.32</v>
      </c>
      <c r="E110" t="n">
        <v>383821.3549757131</v>
      </c>
      <c r="F110" t="n">
        <v>0</v>
      </c>
      <c r="G110" t="n">
        <v>0</v>
      </c>
    </row>
    <row r="111">
      <c r="A111" t="inlineStr">
        <is>
          <t>2027-08</t>
        </is>
      </c>
      <c r="B111" t="inlineStr">
        <is>
          <t>S&amp;M</t>
        </is>
      </c>
      <c r="C111" t="inlineStr">
        <is>
          <t>Montreal</t>
        </is>
      </c>
      <c r="D111" t="n">
        <v>0.98</v>
      </c>
      <c r="E111" t="n">
        <v>11161.73658225323</v>
      </c>
      <c r="F111" t="n">
        <v>0</v>
      </c>
      <c r="G111" t="n">
        <v>0</v>
      </c>
    </row>
    <row r="112">
      <c r="A112" t="inlineStr">
        <is>
          <t>2027-09</t>
        </is>
      </c>
      <c r="B112" t="inlineStr">
        <is>
          <t>Customer Operations</t>
        </is>
      </c>
      <c r="C112" t="inlineStr">
        <is>
          <t>Austin</t>
        </is>
      </c>
      <c r="D112" t="n">
        <v>9.800000000000001</v>
      </c>
      <c r="E112" t="n">
        <v>107709.2740188512</v>
      </c>
      <c r="F112" t="n">
        <v>0</v>
      </c>
      <c r="G112" t="n">
        <v>0</v>
      </c>
    </row>
    <row r="113">
      <c r="A113" t="inlineStr">
        <is>
          <t>2027-09</t>
        </is>
      </c>
      <c r="B113" t="inlineStr">
        <is>
          <t>Customer Operations</t>
        </is>
      </c>
      <c r="C113" t="inlineStr">
        <is>
          <t>Montreal</t>
        </is>
      </c>
      <c r="D113" t="n">
        <v>15.68</v>
      </c>
      <c r="E113" t="n">
        <v>162221.4741422686</v>
      </c>
      <c r="F113" t="n">
        <v>0</v>
      </c>
      <c r="G113" t="n">
        <v>0</v>
      </c>
    </row>
    <row r="114">
      <c r="A114" t="inlineStr">
        <is>
          <t>2027-09</t>
        </is>
      </c>
      <c r="B114" t="inlineStr">
        <is>
          <t>Customer Operations</t>
        </is>
      </c>
      <c r="C114" t="inlineStr">
        <is>
          <t>Paris</t>
        </is>
      </c>
      <c r="D114" t="n">
        <v>0.98</v>
      </c>
      <c r="E114" t="n">
        <v>16662.28459036961</v>
      </c>
      <c r="F114" t="n">
        <v>0</v>
      </c>
      <c r="G114" t="n">
        <v>0</v>
      </c>
    </row>
    <row r="115">
      <c r="A115" t="inlineStr">
        <is>
          <t>2027-09</t>
        </is>
      </c>
      <c r="B115" t="inlineStr">
        <is>
          <t>G&amp;A</t>
        </is>
      </c>
      <c r="C115" t="inlineStr">
        <is>
          <t>Austin</t>
        </is>
      </c>
      <c r="D115" t="n">
        <v>0.98</v>
      </c>
      <c r="E115" t="n">
        <v>37600.15140919702</v>
      </c>
      <c r="F115" t="n">
        <v>0</v>
      </c>
      <c r="G115" t="n">
        <v>0</v>
      </c>
    </row>
    <row r="116">
      <c r="A116" t="inlineStr">
        <is>
          <t>2027-09</t>
        </is>
      </c>
      <c r="B116" t="inlineStr">
        <is>
          <t>G&amp;A</t>
        </is>
      </c>
      <c r="C116" t="inlineStr">
        <is>
          <t>Montreal</t>
        </is>
      </c>
      <c r="D116" t="n">
        <v>14.7</v>
      </c>
      <c r="E116" t="n">
        <v>228149.5209888405</v>
      </c>
      <c r="F116" t="n">
        <v>0</v>
      </c>
      <c r="G116" t="n">
        <v>0</v>
      </c>
    </row>
    <row r="117">
      <c r="A117" t="inlineStr">
        <is>
          <t>2027-09</t>
        </is>
      </c>
      <c r="B117" t="inlineStr">
        <is>
          <t>R&amp;D</t>
        </is>
      </c>
      <c r="C117" t="inlineStr">
        <is>
          <t>Montreal</t>
        </is>
      </c>
      <c r="D117" t="n">
        <v>50.96</v>
      </c>
      <c r="E117" t="n">
        <v>662652.310155586</v>
      </c>
      <c r="F117" t="n">
        <v>0</v>
      </c>
      <c r="G117" t="n">
        <v>0</v>
      </c>
    </row>
    <row r="118">
      <c r="A118" t="inlineStr">
        <is>
          <t>2027-09</t>
        </is>
      </c>
      <c r="B118" t="inlineStr">
        <is>
          <t>R&amp;D</t>
        </is>
      </c>
      <c r="C118" t="inlineStr">
        <is>
          <t>Paris</t>
        </is>
      </c>
      <c r="D118" t="n">
        <v>33.32</v>
      </c>
      <c r="E118" t="n">
        <v>445555.8470286949</v>
      </c>
      <c r="F118" t="n">
        <v>0</v>
      </c>
      <c r="G118" t="n">
        <v>0</v>
      </c>
    </row>
    <row r="119">
      <c r="A119" t="inlineStr">
        <is>
          <t>2027-09</t>
        </is>
      </c>
      <c r="B119" t="inlineStr">
        <is>
          <t>S&amp;M</t>
        </is>
      </c>
      <c r="C119" t="inlineStr">
        <is>
          <t>Austin</t>
        </is>
      </c>
      <c r="D119" t="n">
        <v>33.32</v>
      </c>
      <c r="E119" t="n">
        <v>383821.3549757131</v>
      </c>
      <c r="F119" t="n">
        <v>0</v>
      </c>
      <c r="G119" t="n">
        <v>0</v>
      </c>
    </row>
    <row r="120">
      <c r="A120" t="inlineStr">
        <is>
          <t>2027-09</t>
        </is>
      </c>
      <c r="B120" t="inlineStr">
        <is>
          <t>S&amp;M</t>
        </is>
      </c>
      <c r="C120" t="inlineStr">
        <is>
          <t>Montreal</t>
        </is>
      </c>
      <c r="D120" t="n">
        <v>0.98</v>
      </c>
      <c r="E120" t="n">
        <v>11161.73658225323</v>
      </c>
      <c r="F120" t="n">
        <v>0</v>
      </c>
      <c r="G120" t="n">
        <v>0</v>
      </c>
    </row>
    <row r="121">
      <c r="A121" t="inlineStr">
        <is>
          <t>2027-10</t>
        </is>
      </c>
      <c r="B121" t="inlineStr">
        <is>
          <t>Customer Operations</t>
        </is>
      </c>
      <c r="C121" t="inlineStr">
        <is>
          <t>Austin</t>
        </is>
      </c>
      <c r="D121" t="n">
        <v>9.800000000000001</v>
      </c>
      <c r="E121" t="n">
        <v>107709.2740188512</v>
      </c>
      <c r="F121" t="n">
        <v>0</v>
      </c>
      <c r="G121" t="n">
        <v>0</v>
      </c>
    </row>
    <row r="122">
      <c r="A122" t="inlineStr">
        <is>
          <t>2027-10</t>
        </is>
      </c>
      <c r="B122" t="inlineStr">
        <is>
          <t>Customer Operations</t>
        </is>
      </c>
      <c r="C122" t="inlineStr">
        <is>
          <t>Montreal</t>
        </is>
      </c>
      <c r="D122" t="n">
        <v>15.68</v>
      </c>
      <c r="E122" t="n">
        <v>162221.4741422686</v>
      </c>
      <c r="F122" t="n">
        <v>0</v>
      </c>
      <c r="G122" t="n">
        <v>0</v>
      </c>
    </row>
    <row r="123">
      <c r="A123" t="inlineStr">
        <is>
          <t>2027-10</t>
        </is>
      </c>
      <c r="B123" t="inlineStr">
        <is>
          <t>Customer Operations</t>
        </is>
      </c>
      <c r="C123" t="inlineStr">
        <is>
          <t>Paris</t>
        </is>
      </c>
      <c r="D123" t="n">
        <v>0.98</v>
      </c>
      <c r="E123" t="n">
        <v>16662.28459036961</v>
      </c>
      <c r="F123" t="n">
        <v>0</v>
      </c>
      <c r="G123" t="n">
        <v>0</v>
      </c>
    </row>
    <row r="124">
      <c r="A124" t="inlineStr">
        <is>
          <t>2027-10</t>
        </is>
      </c>
      <c r="B124" t="inlineStr">
        <is>
          <t>G&amp;A</t>
        </is>
      </c>
      <c r="C124" t="inlineStr">
        <is>
          <t>Austin</t>
        </is>
      </c>
      <c r="D124" t="n">
        <v>0.98</v>
      </c>
      <c r="E124" t="n">
        <v>37600.15140919702</v>
      </c>
      <c r="F124" t="n">
        <v>0</v>
      </c>
      <c r="G124" t="n">
        <v>0</v>
      </c>
    </row>
    <row r="125">
      <c r="A125" t="inlineStr">
        <is>
          <t>2027-10</t>
        </is>
      </c>
      <c r="B125" t="inlineStr">
        <is>
          <t>G&amp;A</t>
        </is>
      </c>
      <c r="C125" t="inlineStr">
        <is>
          <t>Montreal</t>
        </is>
      </c>
      <c r="D125" t="n">
        <v>14.7</v>
      </c>
      <c r="E125" t="n">
        <v>228149.5209888405</v>
      </c>
      <c r="F125" t="n">
        <v>0</v>
      </c>
      <c r="G125" t="n">
        <v>0</v>
      </c>
    </row>
    <row r="126">
      <c r="A126" t="inlineStr">
        <is>
          <t>2027-10</t>
        </is>
      </c>
      <c r="B126" t="inlineStr">
        <is>
          <t>R&amp;D</t>
        </is>
      </c>
      <c r="C126" t="inlineStr">
        <is>
          <t>Montreal</t>
        </is>
      </c>
      <c r="D126" t="n">
        <v>50.96</v>
      </c>
      <c r="E126" t="n">
        <v>662652.310155586</v>
      </c>
      <c r="F126" t="n">
        <v>0</v>
      </c>
      <c r="G126" t="n">
        <v>0</v>
      </c>
    </row>
    <row r="127">
      <c r="A127" t="inlineStr">
        <is>
          <t>2027-10</t>
        </is>
      </c>
      <c r="B127" t="inlineStr">
        <is>
          <t>R&amp;D</t>
        </is>
      </c>
      <c r="C127" t="inlineStr">
        <is>
          <t>Paris</t>
        </is>
      </c>
      <c r="D127" t="n">
        <v>33.32</v>
      </c>
      <c r="E127" t="n">
        <v>445555.8470286949</v>
      </c>
      <c r="F127" t="n">
        <v>0</v>
      </c>
      <c r="G127" t="n">
        <v>0</v>
      </c>
    </row>
    <row r="128">
      <c r="A128" t="inlineStr">
        <is>
          <t>2027-10</t>
        </is>
      </c>
      <c r="B128" t="inlineStr">
        <is>
          <t>S&amp;M</t>
        </is>
      </c>
      <c r="C128" t="inlineStr">
        <is>
          <t>Austin</t>
        </is>
      </c>
      <c r="D128" t="n">
        <v>33.32</v>
      </c>
      <c r="E128" t="n">
        <v>383821.3549757131</v>
      </c>
      <c r="F128" t="n">
        <v>0</v>
      </c>
      <c r="G128" t="n">
        <v>0</v>
      </c>
    </row>
    <row r="129">
      <c r="A129" t="inlineStr">
        <is>
          <t>2027-10</t>
        </is>
      </c>
      <c r="B129" t="inlineStr">
        <is>
          <t>S&amp;M</t>
        </is>
      </c>
      <c r="C129" t="inlineStr">
        <is>
          <t>Montreal</t>
        </is>
      </c>
      <c r="D129" t="n">
        <v>0.98</v>
      </c>
      <c r="E129" t="n">
        <v>11161.73658225323</v>
      </c>
      <c r="F129" t="n">
        <v>0</v>
      </c>
      <c r="G129" t="n">
        <v>0</v>
      </c>
    </row>
    <row r="130">
      <c r="A130" t="inlineStr">
        <is>
          <t>2027-11</t>
        </is>
      </c>
      <c r="B130" t="inlineStr">
        <is>
          <t>Customer Operations</t>
        </is>
      </c>
      <c r="C130" t="inlineStr">
        <is>
          <t>Austin</t>
        </is>
      </c>
      <c r="D130" t="n">
        <v>9.800000000000001</v>
      </c>
      <c r="E130" t="n">
        <v>107709.2740188512</v>
      </c>
      <c r="F130" t="n">
        <v>0</v>
      </c>
      <c r="G130" t="n">
        <v>0</v>
      </c>
    </row>
    <row r="131">
      <c r="A131" t="inlineStr">
        <is>
          <t>2027-11</t>
        </is>
      </c>
      <c r="B131" t="inlineStr">
        <is>
          <t>Customer Operations</t>
        </is>
      </c>
      <c r="C131" t="inlineStr">
        <is>
          <t>Montreal</t>
        </is>
      </c>
      <c r="D131" t="n">
        <v>15.68</v>
      </c>
      <c r="E131" t="n">
        <v>162221.4741422686</v>
      </c>
      <c r="F131" t="n">
        <v>0</v>
      </c>
      <c r="G131" t="n">
        <v>0</v>
      </c>
    </row>
    <row r="132">
      <c r="A132" t="inlineStr">
        <is>
          <t>2027-11</t>
        </is>
      </c>
      <c r="B132" t="inlineStr">
        <is>
          <t>Customer Operations</t>
        </is>
      </c>
      <c r="C132" t="inlineStr">
        <is>
          <t>Paris</t>
        </is>
      </c>
      <c r="D132" t="n">
        <v>0.98</v>
      </c>
      <c r="E132" t="n">
        <v>16662.28459036961</v>
      </c>
      <c r="F132" t="n">
        <v>0</v>
      </c>
      <c r="G132" t="n">
        <v>0</v>
      </c>
    </row>
    <row r="133">
      <c r="A133" t="inlineStr">
        <is>
          <t>2027-11</t>
        </is>
      </c>
      <c r="B133" t="inlineStr">
        <is>
          <t>G&amp;A</t>
        </is>
      </c>
      <c r="C133" t="inlineStr">
        <is>
          <t>Austin</t>
        </is>
      </c>
      <c r="D133" t="n">
        <v>0.98</v>
      </c>
      <c r="E133" t="n">
        <v>37600.15140919702</v>
      </c>
      <c r="F133" t="n">
        <v>0</v>
      </c>
      <c r="G133" t="n">
        <v>0</v>
      </c>
    </row>
    <row r="134">
      <c r="A134" t="inlineStr">
        <is>
          <t>2027-11</t>
        </is>
      </c>
      <c r="B134" t="inlineStr">
        <is>
          <t>G&amp;A</t>
        </is>
      </c>
      <c r="C134" t="inlineStr">
        <is>
          <t>Montreal</t>
        </is>
      </c>
      <c r="D134" t="n">
        <v>14.7</v>
      </c>
      <c r="E134" t="n">
        <v>228149.5209888405</v>
      </c>
      <c r="F134" t="n">
        <v>0</v>
      </c>
      <c r="G134" t="n">
        <v>0</v>
      </c>
    </row>
    <row r="135">
      <c r="A135" t="inlineStr">
        <is>
          <t>2027-11</t>
        </is>
      </c>
      <c r="B135" t="inlineStr">
        <is>
          <t>R&amp;D</t>
        </is>
      </c>
      <c r="C135" t="inlineStr">
        <is>
          <t>Montreal</t>
        </is>
      </c>
      <c r="D135" t="n">
        <v>50.96</v>
      </c>
      <c r="E135" t="n">
        <v>662652.310155586</v>
      </c>
      <c r="F135" t="n">
        <v>0</v>
      </c>
      <c r="G135" t="n">
        <v>0</v>
      </c>
    </row>
    <row r="136">
      <c r="A136" t="inlineStr">
        <is>
          <t>2027-11</t>
        </is>
      </c>
      <c r="B136" t="inlineStr">
        <is>
          <t>R&amp;D</t>
        </is>
      </c>
      <c r="C136" t="inlineStr">
        <is>
          <t>Paris</t>
        </is>
      </c>
      <c r="D136" t="n">
        <v>33.32</v>
      </c>
      <c r="E136" t="n">
        <v>445555.8470286949</v>
      </c>
      <c r="F136" t="n">
        <v>0</v>
      </c>
      <c r="G136" t="n">
        <v>0</v>
      </c>
    </row>
    <row r="137">
      <c r="A137" t="inlineStr">
        <is>
          <t>2027-11</t>
        </is>
      </c>
      <c r="B137" t="inlineStr">
        <is>
          <t>S&amp;M</t>
        </is>
      </c>
      <c r="C137" t="inlineStr">
        <is>
          <t>Austin</t>
        </is>
      </c>
      <c r="D137" t="n">
        <v>33.32</v>
      </c>
      <c r="E137" t="n">
        <v>383821.3549757131</v>
      </c>
      <c r="F137" t="n">
        <v>0</v>
      </c>
      <c r="G137" t="n">
        <v>0</v>
      </c>
    </row>
    <row r="138">
      <c r="A138" t="inlineStr">
        <is>
          <t>2027-11</t>
        </is>
      </c>
      <c r="B138" t="inlineStr">
        <is>
          <t>S&amp;M</t>
        </is>
      </c>
      <c r="C138" t="inlineStr">
        <is>
          <t>Montreal</t>
        </is>
      </c>
      <c r="D138" t="n">
        <v>0.98</v>
      </c>
      <c r="E138" t="n">
        <v>11161.73658225323</v>
      </c>
      <c r="F138" t="n">
        <v>0</v>
      </c>
      <c r="G138" t="n">
        <v>0</v>
      </c>
    </row>
    <row r="139">
      <c r="A139" t="inlineStr">
        <is>
          <t>2027-12</t>
        </is>
      </c>
      <c r="B139" t="inlineStr">
        <is>
          <t>Customer Operations</t>
        </is>
      </c>
      <c r="C139" t="inlineStr">
        <is>
          <t>Austin</t>
        </is>
      </c>
      <c r="D139" t="n">
        <v>10.78</v>
      </c>
      <c r="E139" t="n">
        <v>117351.0040188512</v>
      </c>
      <c r="F139" t="n">
        <v>13500</v>
      </c>
      <c r="G139" t="n">
        <v>3500</v>
      </c>
    </row>
    <row r="140">
      <c r="A140" t="inlineStr">
        <is>
          <t>2027-12</t>
        </is>
      </c>
      <c r="B140" t="inlineStr">
        <is>
          <t>Customer Operations</t>
        </is>
      </c>
      <c r="C140" t="inlineStr">
        <is>
          <t>Montreal</t>
        </is>
      </c>
      <c r="D140" t="n">
        <v>15.68</v>
      </c>
      <c r="E140" t="n">
        <v>162221.4741422686</v>
      </c>
      <c r="F140" t="n">
        <v>0</v>
      </c>
      <c r="G140" t="n">
        <v>0</v>
      </c>
    </row>
    <row r="141">
      <c r="A141" t="inlineStr">
        <is>
          <t>2027-12</t>
        </is>
      </c>
      <c r="B141" t="inlineStr">
        <is>
          <t>Customer Operations</t>
        </is>
      </c>
      <c r="C141" t="inlineStr">
        <is>
          <t>Paris</t>
        </is>
      </c>
      <c r="D141" t="n">
        <v>0.98</v>
      </c>
      <c r="E141" t="n">
        <v>16662.28459036961</v>
      </c>
      <c r="F141" t="n">
        <v>0</v>
      </c>
      <c r="G141" t="n">
        <v>0</v>
      </c>
    </row>
    <row r="142">
      <c r="A142" t="inlineStr">
        <is>
          <t>2027-12</t>
        </is>
      </c>
      <c r="B142" t="inlineStr">
        <is>
          <t>G&amp;A</t>
        </is>
      </c>
      <c r="C142" t="inlineStr">
        <is>
          <t>Austin</t>
        </is>
      </c>
      <c r="D142" t="n">
        <v>0.98</v>
      </c>
      <c r="E142" t="n">
        <v>37600.15140919702</v>
      </c>
      <c r="F142" t="n">
        <v>0</v>
      </c>
      <c r="G142" t="n">
        <v>0</v>
      </c>
    </row>
    <row r="143">
      <c r="A143" t="inlineStr">
        <is>
          <t>2027-12</t>
        </is>
      </c>
      <c r="B143" t="inlineStr">
        <is>
          <t>G&amp;A</t>
        </is>
      </c>
      <c r="C143" t="inlineStr">
        <is>
          <t>Montreal</t>
        </is>
      </c>
      <c r="D143" t="n">
        <v>14.7</v>
      </c>
      <c r="E143" t="n">
        <v>228149.5209888405</v>
      </c>
      <c r="F143" t="n">
        <v>0</v>
      </c>
      <c r="G143" t="n">
        <v>0</v>
      </c>
    </row>
    <row r="144">
      <c r="A144" t="inlineStr">
        <is>
          <t>2027-12</t>
        </is>
      </c>
      <c r="B144" t="inlineStr">
        <is>
          <t>R&amp;D</t>
        </is>
      </c>
      <c r="C144" t="inlineStr">
        <is>
          <t>Montreal</t>
        </is>
      </c>
      <c r="D144" t="n">
        <v>50.96</v>
      </c>
      <c r="E144" t="n">
        <v>662652.310155586</v>
      </c>
      <c r="F144" t="n">
        <v>0</v>
      </c>
      <c r="G144" t="n">
        <v>0</v>
      </c>
    </row>
    <row r="145">
      <c r="A145" t="inlineStr">
        <is>
          <t>2027-12</t>
        </is>
      </c>
      <c r="B145" t="inlineStr">
        <is>
          <t>R&amp;D</t>
        </is>
      </c>
      <c r="C145" t="inlineStr">
        <is>
          <t>Paris</t>
        </is>
      </c>
      <c r="D145" t="n">
        <v>33.32</v>
      </c>
      <c r="E145" t="n">
        <v>445555.8470286949</v>
      </c>
      <c r="F145" t="n">
        <v>0</v>
      </c>
      <c r="G145" t="n">
        <v>0</v>
      </c>
    </row>
    <row r="146">
      <c r="A146" t="inlineStr">
        <is>
          <t>2027-12</t>
        </is>
      </c>
      <c r="B146" t="inlineStr">
        <is>
          <t>S&amp;M</t>
        </is>
      </c>
      <c r="C146" t="inlineStr">
        <is>
          <t>Austin</t>
        </is>
      </c>
      <c r="D146" t="n">
        <v>33.32</v>
      </c>
      <c r="E146" t="n">
        <v>383821.3549757131</v>
      </c>
      <c r="F146" t="n">
        <v>0</v>
      </c>
      <c r="G146" t="n">
        <v>0</v>
      </c>
    </row>
    <row r="147">
      <c r="A147" t="inlineStr">
        <is>
          <t>2027-12</t>
        </is>
      </c>
      <c r="B147" t="inlineStr">
        <is>
          <t>S&amp;M</t>
        </is>
      </c>
      <c r="C147" t="inlineStr">
        <is>
          <t>Montreal</t>
        </is>
      </c>
      <c r="D147" t="n">
        <v>0.98</v>
      </c>
      <c r="E147" t="n">
        <v>11161.73658225323</v>
      </c>
      <c r="F147" t="n">
        <v>0</v>
      </c>
      <c r="G147" t="n">
        <v>0</v>
      </c>
    </row>
    <row r="148">
      <c r="A148" t="inlineStr">
        <is>
          <t>2028-01</t>
        </is>
      </c>
      <c r="B148" t="inlineStr">
        <is>
          <t>Customer Operations</t>
        </is>
      </c>
      <c r="C148" t="inlineStr">
        <is>
          <t>Austin</t>
        </is>
      </c>
      <c r="D148" t="n">
        <v>10.78</v>
      </c>
      <c r="E148" t="n">
        <v>121458.289159511</v>
      </c>
      <c r="F148" t="n">
        <v>0</v>
      </c>
      <c r="G148" t="n">
        <v>0</v>
      </c>
    </row>
    <row r="149">
      <c r="A149" t="inlineStr">
        <is>
          <t>2028-01</t>
        </is>
      </c>
      <c r="B149" t="inlineStr">
        <is>
          <t>Customer Operations</t>
        </is>
      </c>
      <c r="C149" t="inlineStr">
        <is>
          <t>Montreal</t>
        </is>
      </c>
      <c r="D149" t="n">
        <v>15.68</v>
      </c>
      <c r="E149" t="n">
        <v>167899.225737248</v>
      </c>
      <c r="F149" t="n">
        <v>0</v>
      </c>
      <c r="G149" t="n">
        <v>0</v>
      </c>
    </row>
    <row r="150">
      <c r="A150" t="inlineStr">
        <is>
          <t>2028-01</t>
        </is>
      </c>
      <c r="B150" t="inlineStr">
        <is>
          <t>Customer Operations</t>
        </is>
      </c>
      <c r="C150" t="inlineStr">
        <is>
          <t>Paris</t>
        </is>
      </c>
      <c r="D150" t="n">
        <v>0.98</v>
      </c>
      <c r="E150" t="n">
        <v>17245.46455103255</v>
      </c>
      <c r="F150" t="n">
        <v>0</v>
      </c>
      <c r="G150" t="n">
        <v>0</v>
      </c>
    </row>
    <row r="151">
      <c r="A151" t="inlineStr">
        <is>
          <t>2028-01</t>
        </is>
      </c>
      <c r="B151" t="inlineStr">
        <is>
          <t>G&amp;A</t>
        </is>
      </c>
      <c r="C151" t="inlineStr">
        <is>
          <t>Austin</t>
        </is>
      </c>
      <c r="D151" t="n">
        <v>0.98</v>
      </c>
      <c r="E151" t="n">
        <v>38916.15670851892</v>
      </c>
      <c r="F151" t="n">
        <v>0</v>
      </c>
      <c r="G151" t="n">
        <v>0</v>
      </c>
    </row>
    <row r="152">
      <c r="A152" t="inlineStr">
        <is>
          <t>2028-01</t>
        </is>
      </c>
      <c r="B152" t="inlineStr">
        <is>
          <t>G&amp;A</t>
        </is>
      </c>
      <c r="C152" t="inlineStr">
        <is>
          <t>Montreal</t>
        </is>
      </c>
      <c r="D152" t="n">
        <v>14.7</v>
      </c>
      <c r="E152" t="n">
        <v>236134.7542234499</v>
      </c>
      <c r="F152" t="n">
        <v>0</v>
      </c>
      <c r="G152" t="n">
        <v>0</v>
      </c>
    </row>
    <row r="153">
      <c r="A153" t="inlineStr">
        <is>
          <t>2028-01</t>
        </is>
      </c>
      <c r="B153" t="inlineStr">
        <is>
          <t>R&amp;D</t>
        </is>
      </c>
      <c r="C153" t="inlineStr">
        <is>
          <t>Montreal</t>
        </is>
      </c>
      <c r="D153" t="n">
        <v>50.96</v>
      </c>
      <c r="E153" t="n">
        <v>685845.1410110315</v>
      </c>
      <c r="F153" t="n">
        <v>0</v>
      </c>
      <c r="G153" t="n">
        <v>0</v>
      </c>
    </row>
    <row r="154">
      <c r="A154" t="inlineStr">
        <is>
          <t>2028-01</t>
        </is>
      </c>
      <c r="B154" t="inlineStr">
        <is>
          <t>R&amp;D</t>
        </is>
      </c>
      <c r="C154" t="inlineStr">
        <is>
          <t>Paris</t>
        </is>
      </c>
      <c r="D154" t="n">
        <v>33.32</v>
      </c>
      <c r="E154" t="n">
        <v>461150.3016746991</v>
      </c>
      <c r="F154" t="n">
        <v>0</v>
      </c>
      <c r="G154" t="n">
        <v>0</v>
      </c>
    </row>
    <row r="155">
      <c r="A155" t="inlineStr">
        <is>
          <t>2028-01</t>
        </is>
      </c>
      <c r="B155" t="inlineStr">
        <is>
          <t>S&amp;M</t>
        </is>
      </c>
      <c r="C155" t="inlineStr">
        <is>
          <t>Austin</t>
        </is>
      </c>
      <c r="D155" t="n">
        <v>33.32</v>
      </c>
      <c r="E155" t="n">
        <v>397255.102399863</v>
      </c>
      <c r="F155" t="n">
        <v>0</v>
      </c>
      <c r="G155" t="n">
        <v>0</v>
      </c>
    </row>
    <row r="156">
      <c r="A156" t="inlineStr">
        <is>
          <t>2028-01</t>
        </is>
      </c>
      <c r="B156" t="inlineStr">
        <is>
          <t>S&amp;M</t>
        </is>
      </c>
      <c r="C156" t="inlineStr">
        <is>
          <t>Montreal</t>
        </is>
      </c>
      <c r="D156" t="n">
        <v>0.98</v>
      </c>
      <c r="E156" t="n">
        <v>11552.39736263209</v>
      </c>
      <c r="F156" t="n">
        <v>0</v>
      </c>
      <c r="G156" t="n">
        <v>0</v>
      </c>
    </row>
    <row r="157">
      <c r="A157" t="inlineStr">
        <is>
          <t>2028-02</t>
        </is>
      </c>
      <c r="B157" t="inlineStr">
        <is>
          <t>Customer Operations</t>
        </is>
      </c>
      <c r="C157" t="inlineStr">
        <is>
          <t>Austin</t>
        </is>
      </c>
      <c r="D157" t="n">
        <v>10.78</v>
      </c>
      <c r="E157" t="n">
        <v>121458.289159511</v>
      </c>
      <c r="F157" t="n">
        <v>0</v>
      </c>
      <c r="G157" t="n">
        <v>0</v>
      </c>
    </row>
    <row r="158">
      <c r="A158" t="inlineStr">
        <is>
          <t>2028-02</t>
        </is>
      </c>
      <c r="B158" t="inlineStr">
        <is>
          <t>Customer Operations</t>
        </is>
      </c>
      <c r="C158" t="inlineStr">
        <is>
          <t>Montreal</t>
        </is>
      </c>
      <c r="D158" t="n">
        <v>15.68</v>
      </c>
      <c r="E158" t="n">
        <v>167899.225737248</v>
      </c>
      <c r="F158" t="n">
        <v>0</v>
      </c>
      <c r="G158" t="n">
        <v>0</v>
      </c>
    </row>
    <row r="159">
      <c r="A159" t="inlineStr">
        <is>
          <t>2028-02</t>
        </is>
      </c>
      <c r="B159" t="inlineStr">
        <is>
          <t>Customer Operations</t>
        </is>
      </c>
      <c r="C159" t="inlineStr">
        <is>
          <t>Paris</t>
        </is>
      </c>
      <c r="D159" t="n">
        <v>0.98</v>
      </c>
      <c r="E159" t="n">
        <v>17245.46455103255</v>
      </c>
      <c r="F159" t="n">
        <v>0</v>
      </c>
      <c r="G159" t="n">
        <v>0</v>
      </c>
    </row>
    <row r="160">
      <c r="A160" t="inlineStr">
        <is>
          <t>2028-02</t>
        </is>
      </c>
      <c r="B160" t="inlineStr">
        <is>
          <t>G&amp;A</t>
        </is>
      </c>
      <c r="C160" t="inlineStr">
        <is>
          <t>Austin</t>
        </is>
      </c>
      <c r="D160" t="n">
        <v>0.98</v>
      </c>
      <c r="E160" t="n">
        <v>38916.15670851892</v>
      </c>
      <c r="F160" t="n">
        <v>0</v>
      </c>
      <c r="G160" t="n">
        <v>0</v>
      </c>
    </row>
    <row r="161">
      <c r="A161" t="inlineStr">
        <is>
          <t>2028-02</t>
        </is>
      </c>
      <c r="B161" t="inlineStr">
        <is>
          <t>G&amp;A</t>
        </is>
      </c>
      <c r="C161" t="inlineStr">
        <is>
          <t>Montreal</t>
        </is>
      </c>
      <c r="D161" t="n">
        <v>14.7</v>
      </c>
      <c r="E161" t="n">
        <v>236134.7542234499</v>
      </c>
      <c r="F161" t="n">
        <v>0</v>
      </c>
      <c r="G161" t="n">
        <v>0</v>
      </c>
    </row>
    <row r="162">
      <c r="A162" t="inlineStr">
        <is>
          <t>2028-02</t>
        </is>
      </c>
      <c r="B162" t="inlineStr">
        <is>
          <t>R&amp;D</t>
        </is>
      </c>
      <c r="C162" t="inlineStr">
        <is>
          <t>Montreal</t>
        </is>
      </c>
      <c r="D162" t="n">
        <v>50.96</v>
      </c>
      <c r="E162" t="n">
        <v>685845.1410110315</v>
      </c>
      <c r="F162" t="n">
        <v>0</v>
      </c>
      <c r="G162" t="n">
        <v>0</v>
      </c>
    </row>
    <row r="163">
      <c r="A163" t="inlineStr">
        <is>
          <t>2028-02</t>
        </is>
      </c>
      <c r="B163" t="inlineStr">
        <is>
          <t>R&amp;D</t>
        </is>
      </c>
      <c r="C163" t="inlineStr">
        <is>
          <t>Paris</t>
        </is>
      </c>
      <c r="D163" t="n">
        <v>33.32</v>
      </c>
      <c r="E163" t="n">
        <v>461150.3016746991</v>
      </c>
      <c r="F163" t="n">
        <v>0</v>
      </c>
      <c r="G163" t="n">
        <v>0</v>
      </c>
    </row>
    <row r="164">
      <c r="A164" t="inlineStr">
        <is>
          <t>2028-02</t>
        </is>
      </c>
      <c r="B164" t="inlineStr">
        <is>
          <t>S&amp;M</t>
        </is>
      </c>
      <c r="C164" t="inlineStr">
        <is>
          <t>Austin</t>
        </is>
      </c>
      <c r="D164" t="n">
        <v>33.32</v>
      </c>
      <c r="E164" t="n">
        <v>397255.102399863</v>
      </c>
      <c r="F164" t="n">
        <v>0</v>
      </c>
      <c r="G164" t="n">
        <v>0</v>
      </c>
    </row>
    <row r="165">
      <c r="A165" t="inlineStr">
        <is>
          <t>2028-02</t>
        </is>
      </c>
      <c r="B165" t="inlineStr">
        <is>
          <t>S&amp;M</t>
        </is>
      </c>
      <c r="C165" t="inlineStr">
        <is>
          <t>Montreal</t>
        </is>
      </c>
      <c r="D165" t="n">
        <v>0.98</v>
      </c>
      <c r="E165" t="n">
        <v>11552.39736263209</v>
      </c>
      <c r="F165" t="n">
        <v>0</v>
      </c>
      <c r="G16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22" customWidth="1" min="4" max="4"/>
    <col width="22" customWidth="1" min="5" max="5"/>
    <col width="14" customWidth="1" min="6" max="6"/>
  </cols>
  <sheetData>
    <row r="1">
      <c r="A1" s="2" t="inlineStr">
        <is>
          <t>Every formula subtotal in the workbook, recomputed against the model value. Difference must be 0.</t>
        </is>
      </c>
    </row>
    <row r="3">
      <c r="A3" s="3" t="inlineStr">
        <is>
          <t>Sheet</t>
        </is>
      </c>
      <c r="B3" s="3" t="inlineStr">
        <is>
          <t>Line</t>
        </is>
      </c>
      <c r="C3" s="3" t="inlineStr">
        <is>
          <t>Months checked</t>
        </is>
      </c>
      <c r="D3" s="3" t="inlineStr">
        <is>
          <t>Sum of formula cells</t>
        </is>
      </c>
      <c r="E3" s="3" t="inlineStr">
        <is>
          <t>Sum of model values</t>
        </is>
      </c>
      <c r="F3" s="3" t="inlineStr">
        <is>
          <t>Difference</t>
        </is>
      </c>
    </row>
    <row r="4">
      <c r="A4" t="inlineStr">
        <is>
          <t>Actuals</t>
        </is>
      </c>
      <c r="B4" t="inlineStr">
        <is>
          <t>Revenue</t>
        </is>
      </c>
      <c r="C4" t="n">
        <v>24</v>
      </c>
      <c r="D4" s="12">
        <f>SUM('Actuals'!B5:Y5)</f>
        <v/>
      </c>
      <c r="E4" s="13" t="n">
        <v>35939751.6385456</v>
      </c>
      <c r="F4" s="12">
        <f>ROUND(D4-E4,4)</f>
        <v/>
      </c>
    </row>
    <row r="5">
      <c r="A5" t="inlineStr">
        <is>
          <t>Actuals</t>
        </is>
      </c>
      <c r="B5" t="inlineStr">
        <is>
          <t>Cost of revenue</t>
        </is>
      </c>
      <c r="C5" t="n">
        <v>24</v>
      </c>
      <c r="D5" s="12">
        <f>SUM('Actuals'!B11:Y11)</f>
        <v/>
      </c>
      <c r="E5" s="13" t="n">
        <v>10930987.45082399</v>
      </c>
      <c r="F5" s="12">
        <f>ROUND(D5-E5,4)</f>
        <v/>
      </c>
    </row>
    <row r="6">
      <c r="A6" t="inlineStr">
        <is>
          <t>Actuals</t>
        </is>
      </c>
      <c r="B6" t="inlineStr">
        <is>
          <t>Gross profit</t>
        </is>
      </c>
      <c r="C6" t="n">
        <v>24</v>
      </c>
      <c r="D6" s="12">
        <f>SUM('Actuals'!B12:Y12)</f>
        <v/>
      </c>
      <c r="E6" s="13" t="n">
        <v>25008764.18772162</v>
      </c>
      <c r="F6" s="12">
        <f>ROUND(D6-E6,4)</f>
        <v/>
      </c>
    </row>
    <row r="7">
      <c r="A7" t="inlineStr">
        <is>
          <t>Actuals</t>
        </is>
      </c>
      <c r="B7" t="inlineStr">
        <is>
          <t>Gross margin</t>
        </is>
      </c>
      <c r="C7" t="n">
        <v>24</v>
      </c>
      <c r="D7" s="12">
        <f>SUM('Actuals'!B13:Y13)</f>
        <v/>
      </c>
      <c r="E7" s="13" t="n">
        <v>16.60126367402028</v>
      </c>
      <c r="F7" s="12">
        <f>ROUND(D7-E7,4)</f>
        <v/>
      </c>
    </row>
    <row r="8">
      <c r="A8" t="inlineStr">
        <is>
          <t>Actuals</t>
        </is>
      </c>
      <c r="B8" t="inlineStr">
        <is>
          <t>R&amp;D total</t>
        </is>
      </c>
      <c r="C8" t="n">
        <v>24</v>
      </c>
      <c r="D8" s="12">
        <f>SUM('Actuals'!B18:Y18)</f>
        <v/>
      </c>
      <c r="E8" s="13" t="n">
        <v>21703052.55179849</v>
      </c>
      <c r="F8" s="12">
        <f>ROUND(D8-E8,4)</f>
        <v/>
      </c>
    </row>
    <row r="9">
      <c r="A9" t="inlineStr">
        <is>
          <t>Actuals</t>
        </is>
      </c>
      <c r="B9" t="inlineStr">
        <is>
          <t>Sales and marketing total</t>
        </is>
      </c>
      <c r="C9" t="n">
        <v>24</v>
      </c>
      <c r="D9" s="12">
        <f>SUM('Actuals'!B23:Y23)</f>
        <v/>
      </c>
      <c r="E9" s="13" t="n">
        <v>15692024.91411085</v>
      </c>
      <c r="F9" s="12">
        <f>ROUND(D9-E9,4)</f>
        <v/>
      </c>
    </row>
    <row r="10">
      <c r="A10" t="inlineStr">
        <is>
          <t>Actuals</t>
        </is>
      </c>
      <c r="B10" t="inlineStr">
        <is>
          <t>G&amp;A total</t>
        </is>
      </c>
      <c r="C10" t="n">
        <v>24</v>
      </c>
      <c r="D10" s="12">
        <f>SUM('Actuals'!B29:Y29)</f>
        <v/>
      </c>
      <c r="E10" s="13" t="n">
        <v>9366688.654919919</v>
      </c>
      <c r="F10" s="12">
        <f>ROUND(D10-E10,4)</f>
        <v/>
      </c>
    </row>
    <row r="11">
      <c r="A11" t="inlineStr">
        <is>
          <t>Actuals</t>
        </is>
      </c>
      <c r="B11" t="inlineStr">
        <is>
          <t>Operating expenses</t>
        </is>
      </c>
      <c r="C11" t="n">
        <v>24</v>
      </c>
      <c r="D11" s="12">
        <f>SUM('Actuals'!B30:Y30)</f>
        <v/>
      </c>
      <c r="E11" s="13" t="n">
        <v>46761766.12082925</v>
      </c>
      <c r="F11" s="12">
        <f>ROUND(D11-E11,4)</f>
        <v/>
      </c>
    </row>
    <row r="12">
      <c r="A12" t="inlineStr">
        <is>
          <t>Actuals</t>
        </is>
      </c>
      <c r="B12" t="inlineStr">
        <is>
          <t>EBITDA</t>
        </is>
      </c>
      <c r="C12" t="n">
        <v>24</v>
      </c>
      <c r="D12" s="12">
        <f>SUM('Actuals'!B31:Y31)</f>
        <v/>
      </c>
      <c r="E12" s="13" t="n">
        <v>-21753001.93310763</v>
      </c>
      <c r="F12" s="12">
        <f>ROUND(D12-E12,4)</f>
        <v/>
      </c>
    </row>
    <row r="13">
      <c r="A13" t="inlineStr">
        <is>
          <t>Actuals</t>
        </is>
      </c>
      <c r="B13" t="inlineStr">
        <is>
          <t>EBITDA margin</t>
        </is>
      </c>
      <c r="C13" t="n">
        <v>24</v>
      </c>
      <c r="D13" s="12">
        <f>SUM('Actuals'!B32:Y32)</f>
        <v/>
      </c>
      <c r="E13" s="13" t="n">
        <v>-15.24669516257809</v>
      </c>
      <c r="F13" s="12">
        <f>ROUND(D13-E13,4)</f>
        <v/>
      </c>
    </row>
    <row r="14">
      <c r="A14" t="inlineStr">
        <is>
          <t>Actuals</t>
        </is>
      </c>
      <c r="B14" t="inlineStr">
        <is>
          <t>Closing Platform ARR</t>
        </is>
      </c>
      <c r="C14" t="n">
        <v>24</v>
      </c>
      <c r="D14" s="12">
        <f>SUM('Actuals'!B48:Y48)</f>
        <v/>
      </c>
      <c r="E14" s="13" t="n">
        <v>402615738.2693962</v>
      </c>
      <c r="F14" s="12">
        <f>ROUND(D14-E14,4)</f>
        <v/>
      </c>
    </row>
    <row r="15">
      <c r="A15" t="inlineStr">
        <is>
          <t>Actuals</t>
        </is>
      </c>
      <c r="B15" t="inlineStr">
        <is>
          <t>Closing customers</t>
        </is>
      </c>
      <c r="C15" t="n">
        <v>24</v>
      </c>
      <c r="D15" s="12">
        <f>SUM('Actuals'!B52:Y52)</f>
        <v/>
      </c>
      <c r="E15" s="13" t="n">
        <v>10891.10680356858</v>
      </c>
      <c r="F15" s="12">
        <f>ROUND(D15-E15,4)</f>
        <v/>
      </c>
    </row>
    <row r="16">
      <c r="A16" t="inlineStr">
        <is>
          <t>Actuals</t>
        </is>
      </c>
      <c r="B16" t="inlineStr">
        <is>
          <t>Total ARR</t>
        </is>
      </c>
      <c r="C16" t="n">
        <v>24</v>
      </c>
      <c r="D16" s="12">
        <f>SUM('Actuals'!B57:Y57)</f>
        <v/>
      </c>
      <c r="E16" s="13" t="n">
        <v>431277019.6625473</v>
      </c>
      <c r="F16" s="12">
        <f>ROUND(D16-E16,4)</f>
        <v/>
      </c>
    </row>
    <row r="17">
      <c r="A17" t="inlineStr">
        <is>
          <t>Actuals</t>
        </is>
      </c>
      <c r="B17" t="inlineStr">
        <is>
          <t>Total units</t>
        </is>
      </c>
      <c r="C17" t="n">
        <v>24</v>
      </c>
      <c r="D17" s="12">
        <f>SUM('Actuals'!B64:Y64)</f>
        <v/>
      </c>
      <c r="E17" s="13" t="n">
        <v>5764464.871302642</v>
      </c>
      <c r="F17" s="12">
        <f>ROUND(D17-E17,4)</f>
        <v/>
      </c>
    </row>
    <row r="18">
      <c r="A18" t="inlineStr">
        <is>
          <t>Actuals</t>
        </is>
      </c>
      <c r="B18" t="inlineStr">
        <is>
          <t>Committed cost</t>
        </is>
      </c>
      <c r="C18" t="n">
        <v>24</v>
      </c>
      <c r="D18" s="12">
        <f>SUM('Actuals'!B68:Y68)</f>
        <v/>
      </c>
      <c r="E18" s="13" t="n">
        <v>0</v>
      </c>
      <c r="F18" s="12">
        <f>ROUND(D18-E18,4)</f>
        <v/>
      </c>
    </row>
    <row r="19">
      <c r="A19" t="inlineStr">
        <is>
          <t>Actuals</t>
        </is>
      </c>
      <c r="B19" t="inlineStr">
        <is>
          <t>On-demand cost</t>
        </is>
      </c>
      <c r="C19" t="n">
        <v>24</v>
      </c>
      <c r="D19" s="12">
        <f>SUM('Actuals'!B69:Y69)</f>
        <v/>
      </c>
      <c r="E19" s="13" t="n">
        <v>2463964.793747481</v>
      </c>
      <c r="F19" s="12">
        <f>ROUND(D19-E19,4)</f>
        <v/>
      </c>
    </row>
    <row r="20">
      <c r="A20" t="inlineStr">
        <is>
          <t>Actuals</t>
        </is>
      </c>
      <c r="B20" t="inlineStr">
        <is>
          <t>Cloud hosting total</t>
        </is>
      </c>
      <c r="C20" t="n">
        <v>24</v>
      </c>
      <c r="D20" s="12">
        <f>SUM('Actuals'!B71:Y71)</f>
        <v/>
      </c>
      <c r="E20" s="13" t="n">
        <v>3087964.793747481</v>
      </c>
      <c r="F20" s="12">
        <f>ROUND(D20-E20,4)</f>
        <v/>
      </c>
    </row>
    <row r="21">
      <c r="A21" t="inlineStr">
        <is>
          <t>Actuals</t>
        </is>
      </c>
      <c r="B21" t="inlineStr">
        <is>
          <t>Opening cash</t>
        </is>
      </c>
      <c r="C21" t="n">
        <v>24</v>
      </c>
      <c r="D21" s="12">
        <f>SUM('Actuals'!B76:Y76)</f>
        <v/>
      </c>
      <c r="E21" s="13" t="n">
        <v>380478315.4152603</v>
      </c>
      <c r="F21" s="12">
        <f>ROUND(D21-E21,4)</f>
        <v/>
      </c>
    </row>
    <row r="22">
      <c r="A22" t="inlineStr">
        <is>
          <t>Actuals</t>
        </is>
      </c>
      <c r="B22" t="inlineStr">
        <is>
          <t>Net cash flow</t>
        </is>
      </c>
      <c r="C22" t="n">
        <v>24</v>
      </c>
      <c r="D22" s="12">
        <f>SUM('Actuals'!B82:Y82)</f>
        <v/>
      </c>
      <c r="E22" s="13" t="n">
        <v>3750279.18739851</v>
      </c>
      <c r="F22" s="12">
        <f>ROUND(D22-E22,4)</f>
        <v/>
      </c>
    </row>
    <row r="23">
      <c r="A23" t="inlineStr">
        <is>
          <t>Actuals</t>
        </is>
      </c>
      <c r="B23" t="inlineStr">
        <is>
          <t>Closing cash</t>
        </is>
      </c>
      <c r="C23" t="n">
        <v>24</v>
      </c>
      <c r="D23" s="12">
        <f>SUM('Actuals'!B83:Y83)</f>
        <v/>
      </c>
      <c r="E23" s="13" t="n">
        <v>384228594.6026587</v>
      </c>
      <c r="F23" s="12">
        <f>ROUND(D23-E23,4)</f>
        <v/>
      </c>
    </row>
    <row r="24">
      <c r="A24" t="inlineStr">
        <is>
          <t>Budget FY2026</t>
        </is>
      </c>
      <c r="B24" t="inlineStr">
        <is>
          <t>Revenue</t>
        </is>
      </c>
      <c r="C24" t="n">
        <v>12</v>
      </c>
      <c r="D24" s="12">
        <f>SUM('Budget FY2026'!B5:M5)</f>
        <v/>
      </c>
      <c r="E24" s="13" t="n">
        <v>24799588.03022936</v>
      </c>
      <c r="F24" s="12">
        <f>ROUND(D24-E24,4)</f>
        <v/>
      </c>
    </row>
    <row r="25">
      <c r="A25" t="inlineStr">
        <is>
          <t>Budget FY2026</t>
        </is>
      </c>
      <c r="B25" t="inlineStr">
        <is>
          <t>Cost of revenue</t>
        </is>
      </c>
      <c r="C25" t="n">
        <v>12</v>
      </c>
      <c r="D25" s="12">
        <f>SUM('Budget FY2026'!B11:M11)</f>
        <v/>
      </c>
      <c r="E25" s="13" t="n">
        <v>6530432.537303748</v>
      </c>
      <c r="F25" s="12">
        <f>ROUND(D25-E25,4)</f>
        <v/>
      </c>
    </row>
    <row r="26">
      <c r="A26" t="inlineStr">
        <is>
          <t>Budget FY2026</t>
        </is>
      </c>
      <c r="B26" t="inlineStr">
        <is>
          <t>Gross profit</t>
        </is>
      </c>
      <c r="C26" t="n">
        <v>12</v>
      </c>
      <c r="D26" s="12">
        <f>SUM('Budget FY2026'!B12:M12)</f>
        <v/>
      </c>
      <c r="E26" s="13" t="n">
        <v>18269155.49292561</v>
      </c>
      <c r="F26" s="12">
        <f>ROUND(D26-E26,4)</f>
        <v/>
      </c>
    </row>
    <row r="27">
      <c r="A27" t="inlineStr">
        <is>
          <t>Budget FY2026</t>
        </is>
      </c>
      <c r="B27" t="inlineStr">
        <is>
          <t>Gross margin</t>
        </is>
      </c>
      <c r="C27" t="n">
        <v>12</v>
      </c>
      <c r="D27" s="12">
        <f>SUM('Budget FY2026'!B13:M13)</f>
        <v/>
      </c>
      <c r="E27" s="13" t="n">
        <v>8.823448177596926</v>
      </c>
      <c r="F27" s="12">
        <f>ROUND(D27-E27,4)</f>
        <v/>
      </c>
    </row>
    <row r="28">
      <c r="A28" t="inlineStr">
        <is>
          <t>Budget FY2026</t>
        </is>
      </c>
      <c r="B28" t="inlineStr">
        <is>
          <t>R&amp;D total</t>
        </is>
      </c>
      <c r="C28" t="n">
        <v>12</v>
      </c>
      <c r="D28" s="12">
        <f>SUM('Budget FY2026'!B18:M18)</f>
        <v/>
      </c>
      <c r="E28" s="13" t="n">
        <v>12547616.0160023</v>
      </c>
      <c r="F28" s="12">
        <f>ROUND(D28-E28,4)</f>
        <v/>
      </c>
    </row>
    <row r="29">
      <c r="A29" t="inlineStr">
        <is>
          <t>Budget FY2026</t>
        </is>
      </c>
      <c r="B29" t="inlineStr">
        <is>
          <t>Sales and marketing total</t>
        </is>
      </c>
      <c r="C29" t="n">
        <v>12</v>
      </c>
      <c r="D29" s="12">
        <f>SUM('Budget FY2026'!B23:M23)</f>
        <v/>
      </c>
      <c r="E29" s="13" t="n">
        <v>10612738.62009731</v>
      </c>
      <c r="F29" s="12">
        <f>ROUND(D29-E29,4)</f>
        <v/>
      </c>
    </row>
    <row r="30">
      <c r="A30" t="inlineStr">
        <is>
          <t>Budget FY2026</t>
        </is>
      </c>
      <c r="B30" t="inlineStr">
        <is>
          <t>G&amp;A total</t>
        </is>
      </c>
      <c r="C30" t="n">
        <v>12</v>
      </c>
      <c r="D30" s="12">
        <f>SUM('Budget FY2026'!B29:M29)</f>
        <v/>
      </c>
      <c r="E30" s="13" t="n">
        <v>5058134.557627379</v>
      </c>
      <c r="F30" s="12">
        <f>ROUND(D30-E30,4)</f>
        <v/>
      </c>
    </row>
    <row r="31">
      <c r="A31" t="inlineStr">
        <is>
          <t>Budget FY2026</t>
        </is>
      </c>
      <c r="B31" t="inlineStr">
        <is>
          <t>Operating expenses</t>
        </is>
      </c>
      <c r="C31" t="n">
        <v>12</v>
      </c>
      <c r="D31" s="12">
        <f>SUM('Budget FY2026'!B30:M30)</f>
        <v/>
      </c>
      <c r="E31" s="13" t="n">
        <v>28218489.19372698</v>
      </c>
      <c r="F31" s="12">
        <f>ROUND(D31-E31,4)</f>
        <v/>
      </c>
    </row>
    <row r="32">
      <c r="A32" t="inlineStr">
        <is>
          <t>Budget FY2026</t>
        </is>
      </c>
      <c r="B32" t="inlineStr">
        <is>
          <t>EBITDA</t>
        </is>
      </c>
      <c r="C32" t="n">
        <v>12</v>
      </c>
      <c r="D32" s="12">
        <f>SUM('Budget FY2026'!B31:M31)</f>
        <v/>
      </c>
      <c r="E32" s="13" t="n">
        <v>-9949333.700801373</v>
      </c>
      <c r="F32" s="12">
        <f>ROUND(D32-E32,4)</f>
        <v/>
      </c>
    </row>
    <row r="33">
      <c r="A33" t="inlineStr">
        <is>
          <t>Budget FY2026</t>
        </is>
      </c>
      <c r="B33" t="inlineStr">
        <is>
          <t>EBITDA margin</t>
        </is>
      </c>
      <c r="C33" t="n">
        <v>12</v>
      </c>
      <c r="D33" s="12">
        <f>SUM('Budget FY2026'!B32:M32)</f>
        <v/>
      </c>
      <c r="E33" s="13" t="n">
        <v>-4.951919805933696</v>
      </c>
      <c r="F33" s="12">
        <f>ROUND(D33-E33,4)</f>
        <v/>
      </c>
    </row>
    <row r="34">
      <c r="A34" t="inlineStr">
        <is>
          <t>Budget FY2026</t>
        </is>
      </c>
      <c r="B34" t="inlineStr">
        <is>
          <t>Closing Platform ARR</t>
        </is>
      </c>
      <c r="C34" t="n">
        <v>12</v>
      </c>
      <c r="D34" s="12">
        <f>SUM('Budget FY2026'!B48:M48)</f>
        <v/>
      </c>
      <c r="E34" s="13" t="n">
        <v>273021892.8933113</v>
      </c>
      <c r="F34" s="12">
        <f>ROUND(D34-E34,4)</f>
        <v/>
      </c>
    </row>
    <row r="35">
      <c r="A35" t="inlineStr">
        <is>
          <t>Budget FY2026</t>
        </is>
      </c>
      <c r="B35" t="inlineStr">
        <is>
          <t>Closing customers</t>
        </is>
      </c>
      <c r="C35" t="n">
        <v>12</v>
      </c>
      <c r="D35" s="12">
        <f>SUM('Budget FY2026'!B52:M52)</f>
        <v/>
      </c>
      <c r="E35" s="13" t="n">
        <v>6621.580793037201</v>
      </c>
      <c r="F35" s="12">
        <f>ROUND(D35-E35,4)</f>
        <v/>
      </c>
    </row>
    <row r="36">
      <c r="A36" t="inlineStr">
        <is>
          <t>Budget FY2026</t>
        </is>
      </c>
      <c r="B36" t="inlineStr">
        <is>
          <t>Total ARR</t>
        </is>
      </c>
      <c r="C36" t="n">
        <v>12</v>
      </c>
      <c r="D36" s="12">
        <f>SUM('Budget FY2026'!B57:M57)</f>
        <v/>
      </c>
      <c r="E36" s="13" t="n">
        <v>297595056.3627523</v>
      </c>
      <c r="F36" s="12">
        <f>ROUND(D36-E36,4)</f>
        <v/>
      </c>
    </row>
    <row r="37">
      <c r="A37" t="inlineStr">
        <is>
          <t>Budget FY2026</t>
        </is>
      </c>
      <c r="B37" t="inlineStr">
        <is>
          <t>Total units</t>
        </is>
      </c>
      <c r="C37" t="n">
        <v>12</v>
      </c>
      <c r="D37" s="12">
        <f>SUM('Budget FY2026'!B64:M64)</f>
        <v/>
      </c>
      <c r="E37" s="13" t="n">
        <v>3871773.708960786</v>
      </c>
      <c r="F37" s="12">
        <f>ROUND(D37-E37,4)</f>
        <v/>
      </c>
    </row>
    <row r="38">
      <c r="A38" t="inlineStr">
        <is>
          <t>Budget FY2026</t>
        </is>
      </c>
      <c r="B38" t="inlineStr">
        <is>
          <t>Committed cost</t>
        </is>
      </c>
      <c r="C38" t="n">
        <v>12</v>
      </c>
      <c r="D38" s="12">
        <f>SUM('Budget FY2026'!B68:M68)</f>
        <v/>
      </c>
      <c r="E38" s="13" t="n">
        <v>0</v>
      </c>
      <c r="F38" s="12">
        <f>ROUND(D38-E38,4)</f>
        <v/>
      </c>
    </row>
    <row r="39">
      <c r="A39" t="inlineStr">
        <is>
          <t>Budget FY2026</t>
        </is>
      </c>
      <c r="B39" t="inlineStr">
        <is>
          <t>On-demand cost</t>
        </is>
      </c>
      <c r="C39" t="n">
        <v>12</v>
      </c>
      <c r="D39" s="12">
        <f>SUM('Budget FY2026'!B69:M69)</f>
        <v/>
      </c>
      <c r="E39" s="13" t="n">
        <v>1627184.472106609</v>
      </c>
      <c r="F39" s="12">
        <f>ROUND(D39-E39,4)</f>
        <v/>
      </c>
    </row>
    <row r="40">
      <c r="A40" t="inlineStr">
        <is>
          <t>Budget FY2026</t>
        </is>
      </c>
      <c r="B40" t="inlineStr">
        <is>
          <t>Cloud hosting total</t>
        </is>
      </c>
      <c r="C40" t="n">
        <v>12</v>
      </c>
      <c r="D40" s="12">
        <f>SUM('Budget FY2026'!B71:M71)</f>
        <v/>
      </c>
      <c r="E40" s="13" t="n">
        <v>1963184.472106609</v>
      </c>
      <c r="F40" s="12">
        <f>ROUND(D40-E40,4)</f>
        <v/>
      </c>
    </row>
    <row r="41">
      <c r="A41" t="inlineStr">
        <is>
          <t>Budget FY2026</t>
        </is>
      </c>
      <c r="B41" t="inlineStr">
        <is>
          <t>Opening cash</t>
        </is>
      </c>
      <c r="C41" t="n">
        <v>12</v>
      </c>
      <c r="D41" s="12">
        <f>SUM('Budget FY2026'!B76:M76)</f>
        <v/>
      </c>
      <c r="E41" s="13" t="n">
        <v>18383977.04391304</v>
      </c>
      <c r="F41" s="12">
        <f>ROUND(D41-E41,4)</f>
        <v/>
      </c>
    </row>
    <row r="42">
      <c r="A42" t="inlineStr">
        <is>
          <t>Budget FY2026</t>
        </is>
      </c>
      <c r="B42" t="inlineStr">
        <is>
          <t>Net cash flow</t>
        </is>
      </c>
      <c r="C42" t="n">
        <v>12</v>
      </c>
      <c r="D42" s="12">
        <f>SUM('Budget FY2026'!B82:M82)</f>
        <v/>
      </c>
      <c r="E42" s="13" t="n">
        <v>-9446932.202025333</v>
      </c>
      <c r="F42" s="12">
        <f>ROUND(D42-E42,4)</f>
        <v/>
      </c>
    </row>
    <row r="43">
      <c r="A43" t="inlineStr">
        <is>
          <t>Budget FY2026</t>
        </is>
      </c>
      <c r="B43" t="inlineStr">
        <is>
          <t>Closing cash</t>
        </is>
      </c>
      <c r="C43" t="n">
        <v>12</v>
      </c>
      <c r="D43" s="12">
        <f>SUM('Budget FY2026'!B83:M83)</f>
        <v/>
      </c>
      <c r="E43" s="13" t="n">
        <v>8937044.841887711</v>
      </c>
      <c r="F43" s="12">
        <f>ROUND(D43-E43,4)</f>
        <v/>
      </c>
    </row>
    <row r="44">
      <c r="A44" t="inlineStr">
        <is>
          <t>Plan base</t>
        </is>
      </c>
      <c r="B44" t="inlineStr">
        <is>
          <t>Revenue</t>
        </is>
      </c>
      <c r="C44" t="n">
        <v>18</v>
      </c>
      <c r="D44" s="12">
        <f>SUM('Plan base'!B5:S5)</f>
        <v/>
      </c>
      <c r="E44" s="13" t="n">
        <v>47952579.73785579</v>
      </c>
      <c r="F44" s="12">
        <f>ROUND(D44-E44,4)</f>
        <v/>
      </c>
    </row>
    <row r="45">
      <c r="A45" t="inlineStr">
        <is>
          <t>Plan base</t>
        </is>
      </c>
      <c r="B45" t="inlineStr">
        <is>
          <t>Cost of revenue</t>
        </is>
      </c>
      <c r="C45" t="n">
        <v>18</v>
      </c>
      <c r="D45" s="12">
        <f>SUM('Plan base'!B11:S11)</f>
        <v/>
      </c>
      <c r="E45" s="13" t="n">
        <v>10904521.97757372</v>
      </c>
      <c r="F45" s="12">
        <f>ROUND(D45-E45,4)</f>
        <v/>
      </c>
    </row>
    <row r="46">
      <c r="A46" t="inlineStr">
        <is>
          <t>Plan base</t>
        </is>
      </c>
      <c r="B46" t="inlineStr">
        <is>
          <t>Gross profit</t>
        </is>
      </c>
      <c r="C46" t="n">
        <v>18</v>
      </c>
      <c r="D46" s="12">
        <f>SUM('Plan base'!B12:S12)</f>
        <v/>
      </c>
      <c r="E46" s="13" t="n">
        <v>37048057.76028207</v>
      </c>
      <c r="F46" s="12">
        <f>ROUND(D46-E46,4)</f>
        <v/>
      </c>
    </row>
    <row r="47">
      <c r="A47" t="inlineStr">
        <is>
          <t>Plan base</t>
        </is>
      </c>
      <c r="B47" t="inlineStr">
        <is>
          <t>Gross margin</t>
        </is>
      </c>
      <c r="C47" t="n">
        <v>18</v>
      </c>
      <c r="D47" s="12">
        <f>SUM('Plan base'!B13:S13)</f>
        <v/>
      </c>
      <c r="E47" s="13" t="n">
        <v>13.87841793053039</v>
      </c>
      <c r="F47" s="12">
        <f>ROUND(D47-E47,4)</f>
        <v/>
      </c>
    </row>
    <row r="48">
      <c r="A48" t="inlineStr">
        <is>
          <t>Plan base</t>
        </is>
      </c>
      <c r="B48" t="inlineStr">
        <is>
          <t>R&amp;D total</t>
        </is>
      </c>
      <c r="C48" t="n">
        <v>18</v>
      </c>
      <c r="D48" s="12">
        <f>SUM('Plan base'!B18:S18)</f>
        <v/>
      </c>
      <c r="E48" s="13" t="n">
        <v>21226438.28851081</v>
      </c>
      <c r="F48" s="12">
        <f>ROUND(D48-E48,4)</f>
        <v/>
      </c>
    </row>
    <row r="49">
      <c r="A49" t="inlineStr">
        <is>
          <t>Plan base</t>
        </is>
      </c>
      <c r="B49" t="inlineStr">
        <is>
          <t>Sales and marketing total</t>
        </is>
      </c>
      <c r="C49" t="n">
        <v>18</v>
      </c>
      <c r="D49" s="12">
        <f>SUM('Plan base'!B23:S23)</f>
        <v/>
      </c>
      <c r="E49" s="13" t="n">
        <v>16508910.64150678</v>
      </c>
      <c r="F49" s="12">
        <f>ROUND(D49-E49,4)</f>
        <v/>
      </c>
    </row>
    <row r="50">
      <c r="A50" t="inlineStr">
        <is>
          <t>Plan base</t>
        </is>
      </c>
      <c r="B50" t="inlineStr">
        <is>
          <t>G&amp;A total</t>
        </is>
      </c>
      <c r="C50" t="n">
        <v>18</v>
      </c>
      <c r="D50" s="12">
        <f>SUM('Plan base'!B29:S29)</f>
        <v/>
      </c>
      <c r="E50" s="13" t="n">
        <v>7990153.347251161</v>
      </c>
      <c r="F50" s="12">
        <f>ROUND(D50-E50,4)</f>
        <v/>
      </c>
    </row>
    <row r="51">
      <c r="A51" t="inlineStr">
        <is>
          <t>Plan base</t>
        </is>
      </c>
      <c r="B51" t="inlineStr">
        <is>
          <t>Operating expenses</t>
        </is>
      </c>
      <c r="C51" t="n">
        <v>18</v>
      </c>
      <c r="D51" s="12">
        <f>SUM('Plan base'!B30:S30)</f>
        <v/>
      </c>
      <c r="E51" s="13" t="n">
        <v>45725502.27726875</v>
      </c>
      <c r="F51" s="12">
        <f>ROUND(D51-E51,4)</f>
        <v/>
      </c>
    </row>
    <row r="52">
      <c r="A52" t="inlineStr">
        <is>
          <t>Plan base</t>
        </is>
      </c>
      <c r="B52" t="inlineStr">
        <is>
          <t>EBITDA</t>
        </is>
      </c>
      <c r="C52" t="n">
        <v>18</v>
      </c>
      <c r="D52" s="12">
        <f>SUM('Plan base'!B31:S31)</f>
        <v/>
      </c>
      <c r="E52" s="13" t="n">
        <v>-8677444.516986676</v>
      </c>
      <c r="F52" s="12">
        <f>ROUND(D52-E52,4)</f>
        <v/>
      </c>
    </row>
    <row r="53">
      <c r="A53" t="inlineStr">
        <is>
          <t>Plan base</t>
        </is>
      </c>
      <c r="B53" t="inlineStr">
        <is>
          <t>EBITDA margin</t>
        </is>
      </c>
      <c r="C53" t="n">
        <v>18</v>
      </c>
      <c r="D53" s="12">
        <f>SUM('Plan base'!B32:S32)</f>
        <v/>
      </c>
      <c r="E53" s="13" t="n">
        <v>-3.516972243052561</v>
      </c>
      <c r="F53" s="12">
        <f>ROUND(D53-E53,4)</f>
        <v/>
      </c>
    </row>
    <row r="54">
      <c r="A54" t="inlineStr">
        <is>
          <t>Plan base</t>
        </is>
      </c>
      <c r="B54" t="inlineStr">
        <is>
          <t>Closing Platform ARR</t>
        </is>
      </c>
      <c r="C54" t="n">
        <v>18</v>
      </c>
      <c r="D54" s="12">
        <f>SUM('Plan base'!B48:S48)</f>
        <v/>
      </c>
      <c r="E54" s="13" t="n">
        <v>517111594.8772095</v>
      </c>
      <c r="F54" s="12">
        <f>ROUND(D54-E54,4)</f>
        <v/>
      </c>
    </row>
    <row r="55">
      <c r="A55" t="inlineStr">
        <is>
          <t>Plan base</t>
        </is>
      </c>
      <c r="B55" t="inlineStr">
        <is>
          <t>Closing customers</t>
        </is>
      </c>
      <c r="C55" t="n">
        <v>18</v>
      </c>
      <c r="D55" s="12">
        <f>SUM('Plan base'!B52:S52)</f>
        <v/>
      </c>
      <c r="E55" s="13" t="n">
        <v>11173.73166101661</v>
      </c>
      <c r="F55" s="12">
        <f>ROUND(D55-E55,4)</f>
        <v/>
      </c>
    </row>
    <row r="56">
      <c r="A56" t="inlineStr">
        <is>
          <t>Plan base</t>
        </is>
      </c>
      <c r="B56" t="inlineStr">
        <is>
          <t>Total ARR</t>
        </is>
      </c>
      <c r="C56" t="n">
        <v>18</v>
      </c>
      <c r="D56" s="12">
        <f>SUM('Plan base'!B57:S57)</f>
        <v/>
      </c>
      <c r="E56" s="13" t="n">
        <v>575430956.8542695</v>
      </c>
      <c r="F56" s="12">
        <f>ROUND(D56-E56,4)</f>
        <v/>
      </c>
    </row>
    <row r="57">
      <c r="A57" t="inlineStr">
        <is>
          <t>Plan base</t>
        </is>
      </c>
      <c r="B57" t="inlineStr">
        <is>
          <t>Total units</t>
        </is>
      </c>
      <c r="C57" t="n">
        <v>18</v>
      </c>
      <c r="D57" s="12">
        <f>SUM('Plan base'!B64:S64)</f>
        <v/>
      </c>
      <c r="E57" s="13" t="n">
        <v>9419710.322844045</v>
      </c>
      <c r="F57" s="12">
        <f>ROUND(D57-E57,4)</f>
        <v/>
      </c>
    </row>
    <row r="58">
      <c r="A58" t="inlineStr">
        <is>
          <t>Plan base</t>
        </is>
      </c>
      <c r="B58" t="inlineStr">
        <is>
          <t>Committed cost</t>
        </is>
      </c>
      <c r="C58" t="n">
        <v>18</v>
      </c>
      <c r="D58" s="12">
        <f>SUM('Plan base'!B68:S68)</f>
        <v/>
      </c>
      <c r="E58" s="13" t="n">
        <v>2428931.984562758</v>
      </c>
      <c r="F58" s="12">
        <f>ROUND(D58-E58,4)</f>
        <v/>
      </c>
    </row>
    <row r="59">
      <c r="A59" t="inlineStr">
        <is>
          <t>Plan base</t>
        </is>
      </c>
      <c r="B59" t="inlineStr">
        <is>
          <t>On-demand cost</t>
        </is>
      </c>
      <c r="C59" t="n">
        <v>18</v>
      </c>
      <c r="D59" s="12">
        <f>SUM('Plan base'!B69:S69)</f>
        <v/>
      </c>
      <c r="E59" s="13" t="n">
        <v>630653.8992167427</v>
      </c>
      <c r="F59" s="12">
        <f>ROUND(D59-E59,4)</f>
        <v/>
      </c>
    </row>
    <row r="60">
      <c r="A60" t="inlineStr">
        <is>
          <t>Plan base</t>
        </is>
      </c>
      <c r="B60" t="inlineStr">
        <is>
          <t>Cloud hosting total</t>
        </is>
      </c>
      <c r="C60" t="n">
        <v>18</v>
      </c>
      <c r="D60" s="12">
        <f>SUM('Plan base'!B71:S71)</f>
        <v/>
      </c>
      <c r="E60" s="13" t="n">
        <v>3563585.883779501</v>
      </c>
      <c r="F60" s="12">
        <f>ROUND(D60-E60,4)</f>
        <v/>
      </c>
    </row>
    <row r="61">
      <c r="A61" t="inlineStr">
        <is>
          <t>Plan base</t>
        </is>
      </c>
      <c r="B61" t="inlineStr">
        <is>
          <t>Opening cash</t>
        </is>
      </c>
      <c r="C61" t="n">
        <v>18</v>
      </c>
      <c r="D61" s="12">
        <f>SUM('Plan base'!B76:S76)</f>
        <v/>
      </c>
      <c r="E61" s="13" t="n">
        <v>359417909.2982669</v>
      </c>
      <c r="F61" s="12">
        <f>ROUND(D61-E61,4)</f>
        <v/>
      </c>
    </row>
    <row r="62">
      <c r="A62" t="inlineStr">
        <is>
          <t>Plan base</t>
        </is>
      </c>
      <c r="B62" t="inlineStr">
        <is>
          <t>Net cash flow</t>
        </is>
      </c>
      <c r="C62" t="n">
        <v>18</v>
      </c>
      <c r="D62" s="12">
        <f>SUM('Plan base'!B82:S82)</f>
        <v/>
      </c>
      <c r="E62" s="13" t="n">
        <v>-7810224.082589523</v>
      </c>
      <c r="F62" s="12">
        <f>ROUND(D62-E62,4)</f>
        <v/>
      </c>
    </row>
    <row r="63">
      <c r="A63" t="inlineStr">
        <is>
          <t>Plan base</t>
        </is>
      </c>
      <c r="B63" t="inlineStr">
        <is>
          <t>Closing cash</t>
        </is>
      </c>
      <c r="C63" t="n">
        <v>18</v>
      </c>
      <c r="D63" s="12">
        <f>SUM('Plan base'!B83:S83)</f>
        <v/>
      </c>
      <c r="E63" s="13" t="n">
        <v>351607685.2156774</v>
      </c>
      <c r="F63" s="12">
        <f>ROUND(D63-E63,4)</f>
        <v/>
      </c>
    </row>
    <row r="64">
      <c r="A64" t="inlineStr">
        <is>
          <t>Plan upside</t>
        </is>
      </c>
      <c r="B64" t="inlineStr">
        <is>
          <t>Revenue</t>
        </is>
      </c>
      <c r="C64" t="n">
        <v>18</v>
      </c>
      <c r="D64" s="12">
        <f>SUM('Plan upside'!B5:S5)</f>
        <v/>
      </c>
      <c r="E64" s="13" t="n">
        <v>52744032.40486471</v>
      </c>
      <c r="F64" s="12">
        <f>ROUND(D64-E64,4)</f>
        <v/>
      </c>
    </row>
    <row r="65">
      <c r="A65" t="inlineStr">
        <is>
          <t>Plan upside</t>
        </is>
      </c>
      <c r="B65" t="inlineStr">
        <is>
          <t>Cost of revenue</t>
        </is>
      </c>
      <c r="C65" t="n">
        <v>18</v>
      </c>
      <c r="D65" s="12">
        <f>SUM('Plan upside'!B11:S11)</f>
        <v/>
      </c>
      <c r="E65" s="13" t="n">
        <v>11764377.35339141</v>
      </c>
      <c r="F65" s="12">
        <f>ROUND(D65-E65,4)</f>
        <v/>
      </c>
    </row>
    <row r="66">
      <c r="A66" t="inlineStr">
        <is>
          <t>Plan upside</t>
        </is>
      </c>
      <c r="B66" t="inlineStr">
        <is>
          <t>Gross profit</t>
        </is>
      </c>
      <c r="C66" t="n">
        <v>18</v>
      </c>
      <c r="D66" s="12">
        <f>SUM('Plan upside'!B12:S12)</f>
        <v/>
      </c>
      <c r="E66" s="13" t="n">
        <v>40979655.0514733</v>
      </c>
      <c r="F66" s="12">
        <f>ROUND(D66-E66,4)</f>
        <v/>
      </c>
    </row>
    <row r="67">
      <c r="A67" t="inlineStr">
        <is>
          <t>Plan upside</t>
        </is>
      </c>
      <c r="B67" t="inlineStr">
        <is>
          <t>Gross margin</t>
        </is>
      </c>
      <c r="C67" t="n">
        <v>18</v>
      </c>
      <c r="D67" s="12">
        <f>SUM('Plan upside'!B13:S13)</f>
        <v/>
      </c>
      <c r="E67" s="13" t="n">
        <v>13.94715181085016</v>
      </c>
      <c r="F67" s="12">
        <f>ROUND(D67-E67,4)</f>
        <v/>
      </c>
    </row>
    <row r="68">
      <c r="A68" t="inlineStr">
        <is>
          <t>Plan upside</t>
        </is>
      </c>
      <c r="B68" t="inlineStr">
        <is>
          <t>R&amp;D total</t>
        </is>
      </c>
      <c r="C68" t="n">
        <v>18</v>
      </c>
      <c r="D68" s="12">
        <f>SUM('Plan upside'!B18:S18)</f>
        <v/>
      </c>
      <c r="E68" s="13" t="n">
        <v>21226438.28851081</v>
      </c>
      <c r="F68" s="12">
        <f>ROUND(D68-E68,4)</f>
        <v/>
      </c>
    </row>
    <row r="69">
      <c r="A69" t="inlineStr">
        <is>
          <t>Plan upside</t>
        </is>
      </c>
      <c r="B69" t="inlineStr">
        <is>
          <t>Sales and marketing total</t>
        </is>
      </c>
      <c r="C69" t="n">
        <v>18</v>
      </c>
      <c r="D69" s="12">
        <f>SUM('Plan upside'!B23:S23)</f>
        <v/>
      </c>
      <c r="E69" s="13" t="n">
        <v>17977590.83318279</v>
      </c>
      <c r="F69" s="12">
        <f>ROUND(D69-E69,4)</f>
        <v/>
      </c>
    </row>
    <row r="70">
      <c r="A70" t="inlineStr">
        <is>
          <t>Plan upside</t>
        </is>
      </c>
      <c r="B70" t="inlineStr">
        <is>
          <t>G&amp;A total</t>
        </is>
      </c>
      <c r="C70" t="n">
        <v>18</v>
      </c>
      <c r="D70" s="12">
        <f>SUM('Plan upside'!B29:S29)</f>
        <v/>
      </c>
      <c r="E70" s="13" t="n">
        <v>7998150.147251161</v>
      </c>
      <c r="F70" s="12">
        <f>ROUND(D70-E70,4)</f>
        <v/>
      </c>
    </row>
    <row r="71">
      <c r="A71" t="inlineStr">
        <is>
          <t>Plan upside</t>
        </is>
      </c>
      <c r="B71" t="inlineStr">
        <is>
          <t>Operating expenses</t>
        </is>
      </c>
      <c r="C71" t="n">
        <v>18</v>
      </c>
      <c r="D71" s="12">
        <f>SUM('Plan upside'!B30:S30)</f>
        <v/>
      </c>
      <c r="E71" s="13" t="n">
        <v>47202179.26894476</v>
      </c>
      <c r="F71" s="12">
        <f>ROUND(D71-E71,4)</f>
        <v/>
      </c>
    </row>
    <row r="72">
      <c r="A72" t="inlineStr">
        <is>
          <t>Plan upside</t>
        </is>
      </c>
      <c r="B72" t="inlineStr">
        <is>
          <t>EBITDA</t>
        </is>
      </c>
      <c r="C72" t="n">
        <v>18</v>
      </c>
      <c r="D72" s="12">
        <f>SUM('Plan upside'!B31:S31)</f>
        <v/>
      </c>
      <c r="E72" s="13" t="n">
        <v>-6222524.217471454</v>
      </c>
      <c r="F72" s="12">
        <f>ROUND(D72-E72,4)</f>
        <v/>
      </c>
    </row>
    <row r="73">
      <c r="A73" t="inlineStr">
        <is>
          <t>Plan upside</t>
        </is>
      </c>
      <c r="B73" t="inlineStr">
        <is>
          <t>EBITDA margin</t>
        </is>
      </c>
      <c r="C73" t="n">
        <v>18</v>
      </c>
      <c r="D73" s="12">
        <f>SUM('Plan upside'!B32:S32)</f>
        <v/>
      </c>
      <c r="E73" s="13" t="n">
        <v>-2.581170475445179</v>
      </c>
      <c r="F73" s="12">
        <f>ROUND(D73-E73,4)</f>
        <v/>
      </c>
    </row>
    <row r="74">
      <c r="A74" t="inlineStr">
        <is>
          <t>Plan upside</t>
        </is>
      </c>
      <c r="B74" t="inlineStr">
        <is>
          <t>Closing Platform ARR</t>
        </is>
      </c>
      <c r="C74" t="n">
        <v>18</v>
      </c>
      <c r="D74" s="12">
        <f>SUM('Plan upside'!B48:S48)</f>
        <v/>
      </c>
      <c r="E74" s="13" t="n">
        <v>560846740.0105776</v>
      </c>
      <c r="F74" s="12">
        <f>ROUND(D74-E74,4)</f>
        <v/>
      </c>
    </row>
    <row r="75">
      <c r="A75" t="inlineStr">
        <is>
          <t>Plan upside</t>
        </is>
      </c>
      <c r="B75" t="inlineStr">
        <is>
          <t>Closing customers</t>
        </is>
      </c>
      <c r="C75" t="n">
        <v>18</v>
      </c>
      <c r="D75" s="12">
        <f>SUM('Plan upside'!B52:S52)</f>
        <v/>
      </c>
      <c r="E75" s="13" t="n">
        <v>11874.51375561768</v>
      </c>
      <c r="F75" s="12">
        <f>ROUND(D75-E75,4)</f>
        <v/>
      </c>
    </row>
    <row r="76">
      <c r="A76" t="inlineStr">
        <is>
          <t>Plan upside</t>
        </is>
      </c>
      <c r="B76" t="inlineStr">
        <is>
          <t>Total ARR</t>
        </is>
      </c>
      <c r="C76" t="n">
        <v>18</v>
      </c>
      <c r="D76" s="12">
        <f>SUM('Plan upside'!B57:S57)</f>
        <v/>
      </c>
      <c r="E76" s="13" t="n">
        <v>632928388.8583765</v>
      </c>
      <c r="F76" s="12">
        <f>ROUND(D76-E76,4)</f>
        <v/>
      </c>
    </row>
    <row r="77">
      <c r="A77" t="inlineStr">
        <is>
          <t>Plan upside</t>
        </is>
      </c>
      <c r="B77" t="inlineStr">
        <is>
          <t>Total units</t>
        </is>
      </c>
      <c r="C77" t="n">
        <v>18</v>
      </c>
      <c r="D77" s="12">
        <f>SUM('Plan upside'!B64:S64)</f>
        <v/>
      </c>
      <c r="E77" s="13" t="n">
        <v>10753042.8803171</v>
      </c>
      <c r="F77" s="12">
        <f>ROUND(D77-E77,4)</f>
        <v/>
      </c>
    </row>
    <row r="78">
      <c r="A78" t="inlineStr">
        <is>
          <t>Plan upside</t>
        </is>
      </c>
      <c r="B78" t="inlineStr">
        <is>
          <t>Committed cost</t>
        </is>
      </c>
      <c r="C78" t="n">
        <v>18</v>
      </c>
      <c r="D78" s="12">
        <f>SUM('Plan upside'!B68:S68)</f>
        <v/>
      </c>
      <c r="E78" s="13" t="n">
        <v>2421594.181037116</v>
      </c>
      <c r="F78" s="12">
        <f>ROUND(D78-E78,4)</f>
        <v/>
      </c>
    </row>
    <row r="79">
      <c r="A79" t="inlineStr">
        <is>
          <t>Plan upside</t>
        </is>
      </c>
      <c r="B79" t="inlineStr">
        <is>
          <t>On-demand cost</t>
        </is>
      </c>
      <c r="C79" t="n">
        <v>18</v>
      </c>
      <c r="D79" s="12">
        <f>SUM('Plan upside'!B69:S69)</f>
        <v/>
      </c>
      <c r="E79" s="13" t="n">
        <v>1138856.027444673</v>
      </c>
      <c r="F79" s="12">
        <f>ROUND(D79-E79,4)</f>
        <v/>
      </c>
    </row>
    <row r="80">
      <c r="A80" t="inlineStr">
        <is>
          <t>Plan upside</t>
        </is>
      </c>
      <c r="B80" t="inlineStr">
        <is>
          <t>Cloud hosting total</t>
        </is>
      </c>
      <c r="C80" t="n">
        <v>18</v>
      </c>
      <c r="D80" s="12">
        <f>SUM('Plan upside'!B71:S71)</f>
        <v/>
      </c>
      <c r="E80" s="13" t="n">
        <v>4064450.208481788</v>
      </c>
      <c r="F80" s="12">
        <f>ROUND(D80-E80,4)</f>
        <v/>
      </c>
    </row>
    <row r="81">
      <c r="A81" t="inlineStr">
        <is>
          <t>Plan upside</t>
        </is>
      </c>
      <c r="B81" t="inlineStr">
        <is>
          <t>Opening cash</t>
        </is>
      </c>
      <c r="C81" t="n">
        <v>18</v>
      </c>
      <c r="D81" s="12">
        <f>SUM('Plan upside'!B76:S76)</f>
        <v/>
      </c>
      <c r="E81" s="13" t="n">
        <v>371490718.4282657</v>
      </c>
      <c r="F81" s="12">
        <f>ROUND(D81-E81,4)</f>
        <v/>
      </c>
    </row>
    <row r="82">
      <c r="A82" t="inlineStr">
        <is>
          <t>Plan upside</t>
        </is>
      </c>
      <c r="B82" t="inlineStr">
        <is>
          <t>Net cash flow</t>
        </is>
      </c>
      <c r="C82" t="n">
        <v>18</v>
      </c>
      <c r="D82" s="12">
        <f>SUM('Plan upside'!B82:S82)</f>
        <v/>
      </c>
      <c r="E82" s="13" t="n">
        <v>-4942210.82501932</v>
      </c>
      <c r="F82" s="12">
        <f>ROUND(D82-E82,4)</f>
        <v/>
      </c>
    </row>
    <row r="83">
      <c r="A83" t="inlineStr">
        <is>
          <t>Plan upside</t>
        </is>
      </c>
      <c r="B83" t="inlineStr">
        <is>
          <t>Closing cash</t>
        </is>
      </c>
      <c r="C83" t="n">
        <v>18</v>
      </c>
      <c r="D83" s="12">
        <f>SUM('Plan upside'!B83:S83)</f>
        <v/>
      </c>
      <c r="E83" s="13" t="n">
        <v>366548507.6032464</v>
      </c>
      <c r="F83" s="12">
        <f>ROUND(D83-E83,4)</f>
        <v/>
      </c>
    </row>
    <row r="84">
      <c r="A84" t="inlineStr">
        <is>
          <t>Plan downside</t>
        </is>
      </c>
      <c r="B84" t="inlineStr">
        <is>
          <t>Revenue</t>
        </is>
      </c>
      <c r="C84" t="n">
        <v>18</v>
      </c>
      <c r="D84" s="12">
        <f>SUM('Plan downside'!B5:S5)</f>
        <v/>
      </c>
      <c r="E84" s="13" t="n">
        <v>40211019.16797704</v>
      </c>
      <c r="F84" s="12">
        <f>ROUND(D84-E84,4)</f>
        <v/>
      </c>
    </row>
    <row r="85">
      <c r="A85" t="inlineStr">
        <is>
          <t>Plan downside</t>
        </is>
      </c>
      <c r="B85" t="inlineStr">
        <is>
          <t>Cost of revenue</t>
        </is>
      </c>
      <c r="C85" t="n">
        <v>18</v>
      </c>
      <c r="D85" s="12">
        <f>SUM('Plan downside'!B11:S11)</f>
        <v/>
      </c>
      <c r="E85" s="13" t="n">
        <v>9803881.882690713</v>
      </c>
      <c r="F85" s="12">
        <f>ROUND(D85-E85,4)</f>
        <v/>
      </c>
    </row>
    <row r="86">
      <c r="A86" t="inlineStr">
        <is>
          <t>Plan downside</t>
        </is>
      </c>
      <c r="B86" t="inlineStr">
        <is>
          <t>Gross profit</t>
        </is>
      </c>
      <c r="C86" t="n">
        <v>18</v>
      </c>
      <c r="D86" s="12">
        <f>SUM('Plan downside'!B12:S12)</f>
        <v/>
      </c>
      <c r="E86" s="13" t="n">
        <v>30407137.28528633</v>
      </c>
      <c r="F86" s="12">
        <f>ROUND(D86-E86,4)</f>
        <v/>
      </c>
    </row>
    <row r="87">
      <c r="A87" t="inlineStr">
        <is>
          <t>Plan downside</t>
        </is>
      </c>
      <c r="B87" t="inlineStr">
        <is>
          <t>Gross margin</t>
        </is>
      </c>
      <c r="C87" t="n">
        <v>18</v>
      </c>
      <c r="D87" s="12">
        <f>SUM('Plan downside'!B13:S13)</f>
        <v/>
      </c>
      <c r="E87" s="13" t="n">
        <v>13.60556742443499</v>
      </c>
      <c r="F87" s="12">
        <f>ROUND(D87-E87,4)</f>
        <v/>
      </c>
    </row>
    <row r="88">
      <c r="A88" t="inlineStr">
        <is>
          <t>Plan downside</t>
        </is>
      </c>
      <c r="B88" t="inlineStr">
        <is>
          <t>R&amp;D total</t>
        </is>
      </c>
      <c r="C88" t="n">
        <v>18</v>
      </c>
      <c r="D88" s="12">
        <f>SUM('Plan downside'!B18:S18)</f>
        <v/>
      </c>
      <c r="E88" s="13" t="n">
        <v>21226438.28851081</v>
      </c>
      <c r="F88" s="12">
        <f>ROUND(D88-E88,4)</f>
        <v/>
      </c>
    </row>
    <row r="89">
      <c r="A89" t="inlineStr">
        <is>
          <t>Plan downside</t>
        </is>
      </c>
      <c r="B89" t="inlineStr">
        <is>
          <t>Sales and marketing total</t>
        </is>
      </c>
      <c r="C89" t="n">
        <v>18</v>
      </c>
      <c r="D89" s="12">
        <f>SUM('Plan downside'!B23:S23)</f>
        <v/>
      </c>
      <c r="E89" s="13" t="n">
        <v>12715982.23207471</v>
      </c>
      <c r="F89" s="12">
        <f>ROUND(D89-E89,4)</f>
        <v/>
      </c>
    </row>
    <row r="90">
      <c r="A90" t="inlineStr">
        <is>
          <t>Plan downside</t>
        </is>
      </c>
      <c r="B90" t="inlineStr">
        <is>
          <t>G&amp;A total</t>
        </is>
      </c>
      <c r="C90" t="n">
        <v>18</v>
      </c>
      <c r="D90" s="12">
        <f>SUM('Plan downside'!B29:S29)</f>
        <v/>
      </c>
      <c r="E90" s="13" t="n">
        <v>7988154.147251161</v>
      </c>
      <c r="F90" s="12">
        <f>ROUND(D90-E90,4)</f>
        <v/>
      </c>
    </row>
    <row r="91">
      <c r="A91" t="inlineStr">
        <is>
          <t>Plan downside</t>
        </is>
      </c>
      <c r="B91" t="inlineStr">
        <is>
          <t>Operating expenses</t>
        </is>
      </c>
      <c r="C91" t="n">
        <v>18</v>
      </c>
      <c r="D91" s="12">
        <f>SUM('Plan downside'!B30:S30)</f>
        <v/>
      </c>
      <c r="E91" s="13" t="n">
        <v>41930574.66783668</v>
      </c>
      <c r="F91" s="12">
        <f>ROUND(D91-E91,4)</f>
        <v/>
      </c>
    </row>
    <row r="92">
      <c r="A92" t="inlineStr">
        <is>
          <t>Plan downside</t>
        </is>
      </c>
      <c r="B92" t="inlineStr">
        <is>
          <t>EBITDA</t>
        </is>
      </c>
      <c r="C92" t="n">
        <v>18</v>
      </c>
      <c r="D92" s="12">
        <f>SUM('Plan downside'!B31:S31)</f>
        <v/>
      </c>
      <c r="E92" s="13" t="n">
        <v>-11523437.38255035</v>
      </c>
      <c r="F92" s="12">
        <f>ROUND(D92-E92,4)</f>
        <v/>
      </c>
    </row>
    <row r="93">
      <c r="A93" t="inlineStr">
        <is>
          <t>Plan downside</t>
        </is>
      </c>
      <c r="B93" t="inlineStr">
        <is>
          <t>EBITDA margin</t>
        </is>
      </c>
      <c r="C93" t="n">
        <v>18</v>
      </c>
      <c r="D93" s="12">
        <f>SUM('Plan downside'!B32:S32)</f>
        <v/>
      </c>
      <c r="E93" s="13" t="n">
        <v>-5.174903109630753</v>
      </c>
      <c r="F93" s="12">
        <f>ROUND(D93-E93,4)</f>
        <v/>
      </c>
    </row>
    <row r="94">
      <c r="A94" t="inlineStr">
        <is>
          <t>Plan downside</t>
        </is>
      </c>
      <c r="B94" t="inlineStr">
        <is>
          <t>Closing Platform ARR</t>
        </is>
      </c>
      <c r="C94" t="n">
        <v>18</v>
      </c>
      <c r="D94" s="12">
        <f>SUM('Plan downside'!B48:S48)</f>
        <v/>
      </c>
      <c r="E94" s="13" t="n">
        <v>440301212.9719154</v>
      </c>
      <c r="F94" s="12">
        <f>ROUND(D94-E94,4)</f>
        <v/>
      </c>
    </row>
    <row r="95">
      <c r="A95" t="inlineStr">
        <is>
          <t>Plan downside</t>
        </is>
      </c>
      <c r="B95" t="inlineStr">
        <is>
          <t>Closing customers</t>
        </is>
      </c>
      <c r="C95" t="n">
        <v>18</v>
      </c>
      <c r="D95" s="12">
        <f>SUM('Plan downside'!B52:S52)</f>
        <v/>
      </c>
      <c r="E95" s="13" t="n">
        <v>9802.906458570982</v>
      </c>
      <c r="F95" s="12">
        <f>ROUND(D95-E95,4)</f>
        <v/>
      </c>
    </row>
    <row r="96">
      <c r="A96" t="inlineStr">
        <is>
          <t>Plan downside</t>
        </is>
      </c>
      <c r="B96" t="inlineStr">
        <is>
          <t>Total ARR</t>
        </is>
      </c>
      <c r="C96" t="n">
        <v>18</v>
      </c>
      <c r="D96" s="12">
        <f>SUM('Plan downside'!B57:S57)</f>
        <v/>
      </c>
      <c r="E96" s="13" t="n">
        <v>482532230.0157244</v>
      </c>
      <c r="F96" s="12">
        <f>ROUND(D96-E96,4)</f>
        <v/>
      </c>
    </row>
    <row r="97">
      <c r="A97" t="inlineStr">
        <is>
          <t>Plan downside</t>
        </is>
      </c>
      <c r="B97" t="inlineStr">
        <is>
          <t>Total units</t>
        </is>
      </c>
      <c r="C97" t="n">
        <v>18</v>
      </c>
      <c r="D97" s="12">
        <f>SUM('Plan downside'!B64:S64)</f>
        <v/>
      </c>
      <c r="E97" s="13" t="n">
        <v>7465017.644933499</v>
      </c>
      <c r="F97" s="12">
        <f>ROUND(D97-E97,4)</f>
        <v/>
      </c>
    </row>
    <row r="98">
      <c r="A98" t="inlineStr">
        <is>
          <t>Plan downside</t>
        </is>
      </c>
      <c r="B98" t="inlineStr">
        <is>
          <t>Committed cost</t>
        </is>
      </c>
      <c r="C98" t="n">
        <v>18</v>
      </c>
      <c r="D98" s="12">
        <f>SUM('Plan downside'!B68:S68)</f>
        <v/>
      </c>
      <c r="E98" s="13" t="n">
        <v>2340312.126202609</v>
      </c>
      <c r="F98" s="12">
        <f>ROUND(D98-E98,4)</f>
        <v/>
      </c>
    </row>
    <row r="99">
      <c r="A99" t="inlineStr">
        <is>
          <t>Plan downside</t>
        </is>
      </c>
      <c r="B99" t="inlineStr">
        <is>
          <t>On-demand cost</t>
        </is>
      </c>
      <c r="C99" t="n">
        <v>18</v>
      </c>
      <c r="D99" s="12">
        <f>SUM('Plan downside'!B69:S69)</f>
        <v/>
      </c>
      <c r="E99" s="13" t="n">
        <v>10103.9994384265</v>
      </c>
      <c r="F99" s="12">
        <f>ROUND(D99-E99,4)</f>
        <v/>
      </c>
    </row>
    <row r="100">
      <c r="A100" t="inlineStr">
        <is>
          <t>Plan downside</t>
        </is>
      </c>
      <c r="B100" t="inlineStr">
        <is>
          <t>Cloud hosting total</t>
        </is>
      </c>
      <c r="C100" t="n">
        <v>18</v>
      </c>
      <c r="D100" s="12">
        <f>SUM('Plan downside'!B71:S71)</f>
        <v/>
      </c>
      <c r="E100" s="13" t="n">
        <v>2854416.125641036</v>
      </c>
      <c r="F100" s="12">
        <f>ROUND(D100-E100,4)</f>
        <v/>
      </c>
    </row>
    <row r="101">
      <c r="A101" t="inlineStr">
        <is>
          <t>Plan downside</t>
        </is>
      </c>
      <c r="B101" t="inlineStr">
        <is>
          <t>Opening cash</t>
        </is>
      </c>
      <c r="C101" t="n">
        <v>18</v>
      </c>
      <c r="D101" s="12">
        <f>SUM('Plan downside'!B76:S76)</f>
        <v/>
      </c>
      <c r="E101" s="13" t="n">
        <v>348716370.9624547</v>
      </c>
      <c r="F101" s="12">
        <f>ROUND(D101-E101,4)</f>
        <v/>
      </c>
    </row>
    <row r="102">
      <c r="A102" t="inlineStr">
        <is>
          <t>Plan downside</t>
        </is>
      </c>
      <c r="B102" t="inlineStr">
        <is>
          <t>Net cash flow</t>
        </is>
      </c>
      <c r="C102" t="n">
        <v>18</v>
      </c>
      <c r="D102" s="12">
        <f>SUM('Plan downside'!B82:S82)</f>
        <v/>
      </c>
      <c r="E102" s="13" t="n">
        <v>-11283437.08254214</v>
      </c>
      <c r="F102" s="12">
        <f>ROUND(D102-E102,4)</f>
        <v/>
      </c>
    </row>
    <row r="103">
      <c r="A103" t="inlineStr">
        <is>
          <t>Plan downside</t>
        </is>
      </c>
      <c r="B103" t="inlineStr">
        <is>
          <t>Closing cash</t>
        </is>
      </c>
      <c r="C103" t="n">
        <v>18</v>
      </c>
      <c r="D103" s="12">
        <f>SUM('Plan downside'!B83:S83)</f>
        <v/>
      </c>
      <c r="E103" s="13" t="n">
        <v>337432933.8799126</v>
      </c>
      <c r="F103" s="12">
        <f>ROUND(D103-E103,4)</f>
        <v/>
      </c>
    </row>
    <row r="105">
      <c r="A105" s="3" t="inlineStr">
        <is>
          <t>Total absolute difference</t>
        </is>
      </c>
      <c r="F105" s="12">
        <f>SUMPRODUCT(ABS(F4:F103))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2026-09-17T21:37:10Z</dcterms:created>
  <dcterms:modified xsi:type="dcterms:W3CDTF">2026-09-17T21:37:11Z</dcterms:modified>
</cp:coreProperties>
</file>